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1" sheetId="1" r:id="rId5"/>
    <sheet state="visible" name="co2" sheetId="2" r:id="rId6"/>
    <sheet state="visible" name="returns" sheetId="3" r:id="rId7"/>
    <sheet state="visible" name="descr" sheetId="4" r:id="rId8"/>
    <sheet state="visible" name="regression1" sheetId="5" r:id="rId9"/>
  </sheets>
  <definedNames>
    <definedName hidden="1" localSheetId="2" name="_xlnm._FilterDatabase">returns!$A$1:$Y$379</definedName>
    <definedName hidden="1" localSheetId="3" name="_xlnm._FilterDatabase">descr!$A$1:$C$380</definedName>
  </definedNames>
  <calcPr/>
</workbook>
</file>

<file path=xl/sharedStrings.xml><?xml version="1.0" encoding="utf-8"?>
<sst xmlns="http://schemas.openxmlformats.org/spreadsheetml/2006/main" count="81" uniqueCount="61">
  <si>
    <t>Date</t>
  </si>
  <si>
    <t>Open</t>
  </si>
  <si>
    <t>High</t>
  </si>
  <si>
    <t>Low</t>
  </si>
  <si>
    <t>Close</t>
  </si>
  <si>
    <t>Adj Close</t>
  </si>
  <si>
    <t>Volume</t>
  </si>
  <si>
    <t>Coca-Cola Consolidated, Inc. (COKE) Stock Historical Prices &amp; Data - Yahoo Finance</t>
  </si>
  <si>
    <t>Coca-Cola Consolidated, Inc. (COKE)</t>
  </si>
  <si>
    <t>At close: 4:00:02 PM EDT</t>
  </si>
  <si>
    <t>0.25 Dividend</t>
  </si>
  <si>
    <t>10:1 Stock Splits</t>
  </si>
  <si>
    <t>Netflix, Inc. (NFLX) Stock Historical Prices &amp; Data - Yahoo Finance</t>
  </si>
  <si>
    <t>Netflix, Inc. (NFLX)</t>
  </si>
  <si>
    <t>At close: 4:00:01 PM EDT</t>
  </si>
  <si>
    <t>Date(REVERSE CHRONOLOGICAL ORDER)</t>
  </si>
  <si>
    <t>(COKE)</t>
  </si>
  <si>
    <t>(NFLX)</t>
  </si>
  <si>
    <t>Adj Close   Adjusted close price adjusted for splits and dividend and/or capital gain distributions.</t>
  </si>
  <si>
    <t>Weekly return for COKE</t>
  </si>
  <si>
    <t>Weekly return for NTLX</t>
  </si>
  <si>
    <t>Log Return for COKE</t>
  </si>
  <si>
    <t>Log Return for NFLX</t>
  </si>
  <si>
    <t>COKE</t>
  </si>
  <si>
    <t>NFLX</t>
  </si>
  <si>
    <t>Max</t>
  </si>
  <si>
    <t>Min</t>
  </si>
  <si>
    <t>range: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</si>
  <si>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</si>
  <si>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</si>
  <si>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</si>
  <si>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</si>
  <si>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</si>
  <si>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</si>
  <si>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</si>
  <si>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Sharpe ratio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</si>
  <si>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</si>
  <si>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</si>
  <si>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</si>
  <si>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</si>
  <si>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</si>
  <si>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</si>
  <si>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</si>
  <si>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</si>
  <si>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</si>
  <si>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</si>
  <si>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</si>
  <si>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</si>
  <si>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</si>
  <si>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</si>
  <si>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</si>
  <si>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</si>
  <si>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</si>
  <si>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</si>
  <si>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</si>
  <si>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</si>
  <si>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</si>
  <si>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</si>
  <si>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</si>
  <si>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Y-пересечение</t>
  </si>
  <si>
    <t>Переменная X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</si>
</sst>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/MM/yyyy"/>
  </numFmts>
  <fonts count="17">
    <font>
      <sz val="10.0"/>
      <color rgb="FF000000"/>
      <name val="Aptos Narrow"/>
      <scheme val="minor"/>
    </font>
    <font>
      <b/>
      <color rgb="FF000000"/>
      <name val="Aptos Narrow"/>
      <scheme val="minor"/>
    </font>
    <font>
      <b/>
      <color theme="1"/>
      <name val="Arial"/>
    </font>
    <font>
      <b/>
      <u/>
      <sz val="10.0"/>
      <color rgb="FF467886"/>
      <name val="Arial"/>
    </font>
    <font>
      <b/>
      <sz val="10.0"/>
      <color theme="1"/>
      <name val="Arial"/>
    </font>
    <font>
      <color rgb="FF000000"/>
      <name val="Aptos Narrow"/>
      <scheme val="minor"/>
    </font>
    <font>
      <sz val="10.0"/>
      <color theme="1"/>
      <name val="Arial"/>
    </font>
    <font>
      <b/>
      <sz val="10.0"/>
      <color theme="1"/>
      <name val="Aptos Narrow"/>
      <scheme val="minor"/>
    </font>
    <font>
      <color theme="1"/>
      <name val="Arial"/>
    </font>
    <font>
      <b/>
      <color rgb="FF000000"/>
      <name val="Arial"/>
    </font>
    <font>
      <color theme="1"/>
      <name val="Aptos Narrow"/>
      <scheme val="minor"/>
    </font>
    <font>
      <sz val="9.0"/>
      <color theme="1"/>
      <name val="Arial"/>
    </font>
    <font>
      <b/>
      <sz val="9.0"/>
      <color theme="1"/>
      <name val="Arial"/>
    </font>
    <font>
      <b/>
      <sz val="9.0"/>
      <color theme="1"/>
      <name val="Aptos Narrow"/>
      <scheme val="minor"/>
    </font>
    <font>
      <sz val="12.0"/>
      <color rgb="FF000000"/>
      <name val="Calibri"/>
    </font>
    <font>
      <i/>
      <sz val="12.0"/>
      <color rgb="FF000000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2" fontId="1" numFmtId="4" xfId="0" applyAlignment="1" applyFill="1" applyFont="1" applyNumberFormat="1">
      <alignment horizontal="center" readingOrder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164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0" fillId="2" fontId="5" numFmtId="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164" xfId="0" applyFont="1" applyNumberFormat="1"/>
    <xf borderId="0" fillId="0" fontId="6" numFmtId="4" xfId="0" applyFont="1" applyNumberFormat="1"/>
    <xf borderId="0" fillId="2" fontId="6" numFmtId="4" xfId="0" applyFont="1" applyNumberFormat="1"/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shrinkToFit="0" vertical="top" wrapText="1"/>
    </xf>
    <xf borderId="0" fillId="0" fontId="5" numFmtId="165" xfId="0" applyAlignment="1" applyFont="1" applyNumberFormat="1">
      <alignment readingOrder="0"/>
    </xf>
    <xf borderId="0" fillId="0" fontId="6" numFmtId="165" xfId="0" applyFont="1" applyNumberFormat="1"/>
    <xf borderId="0" fillId="0" fontId="4" numFmtId="0" xfId="0" applyAlignment="1" applyFont="1">
      <alignment horizontal="center" readingOrder="0" shrinkToFit="0" vertical="top" wrapText="1"/>
    </xf>
    <xf borderId="0" fillId="0" fontId="7" numFmtId="4" xfId="0" applyAlignment="1" applyFont="1" applyNumberFormat="1">
      <alignment horizontal="center" readingOrder="0" shrinkToFit="0" vertical="top" wrapText="1"/>
    </xf>
    <xf borderId="0" fillId="0" fontId="4" numFmtId="4" xfId="0" applyAlignment="1" applyFont="1" applyNumberFormat="1">
      <alignment horizontal="center" shrinkToFit="0" vertical="top" wrapText="1"/>
    </xf>
    <xf borderId="0" fillId="3" fontId="7" numFmtId="0" xfId="0" applyAlignment="1" applyFill="1" applyFont="1">
      <alignment horizontal="center" readingOrder="0" shrinkToFit="0" vertical="top" wrapText="1"/>
    </xf>
    <xf borderId="0" fillId="4" fontId="8" numFmtId="0" xfId="0" applyAlignment="1" applyFill="1" applyFont="1">
      <alignment horizontal="left" readingOrder="0" shrinkToFit="0" wrapText="1"/>
    </xf>
    <xf borderId="0" fillId="4" fontId="8" numFmtId="0" xfId="0" applyAlignment="1" applyFont="1">
      <alignment horizontal="left" readingOrder="0" shrinkToFit="0" wrapText="1"/>
    </xf>
    <xf borderId="0" fillId="5" fontId="4" numFmtId="10" xfId="0" applyAlignment="1" applyFill="1" applyFont="1" applyNumberFormat="1">
      <alignment horizontal="left" readingOrder="0" shrinkToFit="0" wrapText="1"/>
    </xf>
    <xf borderId="0" fillId="5" fontId="9" numFmtId="10" xfId="0" applyAlignment="1" applyFont="1" applyNumberFormat="1">
      <alignment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3" fontId="10" numFmtId="10" xfId="0" applyFont="1" applyNumberFormat="1"/>
    <xf borderId="0" fillId="4" fontId="10" numFmtId="10" xfId="0" applyAlignment="1" applyFont="1" applyNumberFormat="1">
      <alignment horizontal="left" shrinkToFit="0" wrapText="1"/>
    </xf>
    <xf borderId="0" fillId="5" fontId="10" numFmtId="10" xfId="0" applyFont="1" applyNumberFormat="1"/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 readingOrder="0" shrinkToFit="0" wrapText="1"/>
    </xf>
    <xf borderId="0" fillId="5" fontId="10" numFmtId="10" xfId="0" applyAlignment="1" applyFont="1" applyNumberFormat="1">
      <alignment horizontal="left" shrinkToFit="0" wrapText="1"/>
    </xf>
    <xf borderId="0" fillId="0" fontId="8" numFmtId="165" xfId="0" applyFont="1" applyNumberFormat="1"/>
    <xf borderId="0" fillId="0" fontId="8" numFmtId="4" xfId="0" applyFont="1" applyNumberFormat="1"/>
    <xf borderId="0" fillId="3" fontId="10" numFmtId="0" xfId="0" applyFont="1"/>
    <xf borderId="0" fillId="4" fontId="10" numFmtId="0" xfId="0" applyFont="1"/>
    <xf borderId="0" fillId="0" fontId="4" numFmtId="165" xfId="0" applyAlignment="1" applyFont="1" applyNumberFormat="1">
      <alignment horizontal="center" shrinkToFit="0" vertical="top" wrapText="1"/>
    </xf>
    <xf borderId="0" fillId="6" fontId="4" numFmtId="0" xfId="0" applyAlignment="1" applyFill="1" applyFont="1">
      <alignment horizontal="center" readingOrder="0" shrinkToFit="0" vertical="top" wrapText="1"/>
    </xf>
    <xf borderId="0" fillId="0" fontId="6" numFmtId="10" xfId="0" applyFont="1" applyNumberFormat="1"/>
    <xf borderId="0" fillId="0" fontId="10" numFmtId="4" xfId="0" applyFont="1" applyNumberFormat="1"/>
    <xf borderId="0" fillId="0" fontId="10" numFmtId="10" xfId="0" applyFont="1" applyNumberFormat="1"/>
    <xf borderId="0" fillId="0" fontId="11" numFmtId="0" xfId="0" applyFont="1"/>
    <xf borderId="0" fillId="7" fontId="11" numFmtId="0" xfId="0" applyFill="1" applyFont="1"/>
    <xf borderId="0" fillId="7" fontId="11" numFmtId="0" xfId="0" applyAlignment="1" applyFont="1">
      <alignment readingOrder="0"/>
    </xf>
    <xf borderId="0" fillId="7" fontId="11" numFmtId="2" xfId="0" applyAlignment="1" applyFont="1" applyNumberFormat="1">
      <alignment readingOrder="0"/>
    </xf>
    <xf borderId="0" fillId="0" fontId="12" numFmtId="0" xfId="0" applyFont="1"/>
    <xf borderId="0" fillId="0" fontId="12" numFmtId="10" xfId="0" applyAlignment="1" applyFont="1" applyNumberFormat="1">
      <alignment horizontal="center"/>
    </xf>
    <xf borderId="0" fillId="0" fontId="11" numFmtId="0" xfId="0" applyAlignment="1" applyFont="1">
      <alignment shrinkToFit="0" wrapText="1"/>
    </xf>
    <xf borderId="0" fillId="0" fontId="11" numFmtId="2" xfId="0" applyFont="1" applyNumberFormat="1"/>
    <xf borderId="0" fillId="0" fontId="12" numFmtId="0" xfId="0" applyAlignment="1" applyFont="1">
      <alignment readingOrder="0"/>
    </xf>
    <xf borderId="0" fillId="0" fontId="13" numFmtId="9" xfId="0" applyAlignment="1" applyFont="1" applyNumberFormat="1">
      <alignment horizontal="center"/>
    </xf>
    <xf borderId="0" fillId="0" fontId="11" numFmtId="4" xfId="0" applyFont="1" applyNumberFormat="1"/>
    <xf borderId="0" fillId="0" fontId="11" numFmtId="0" xfId="0" applyAlignment="1" applyFont="1">
      <alignment readingOrder="0"/>
    </xf>
    <xf borderId="0" fillId="4" fontId="8" numFmtId="4" xfId="0" applyAlignment="1" applyFont="1" applyNumberFormat="1">
      <alignment horizontal="left" readingOrder="0" shrinkToFit="0" wrapText="1"/>
    </xf>
    <xf borderId="0" fillId="4" fontId="8" numFmtId="4" xfId="0" applyAlignment="1" applyFont="1" applyNumberFormat="1">
      <alignment horizontal="left" readingOrder="0" shrinkToFit="0" wrapText="1"/>
    </xf>
    <xf borderId="0" fillId="4" fontId="10" numFmtId="4" xfId="0" applyAlignment="1" applyFont="1" applyNumberFormat="1">
      <alignment horizontal="left" shrinkToFit="0" wrapText="1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6" numFmtId="0" xfId="0" applyBorder="1" applyFont="1"/>
    <xf borderId="0" fillId="0" fontId="14" numFmtId="3" xfId="0" applyAlignment="1" applyFont="1" applyNumberFormat="1">
      <alignment horizontal="right" readingOrder="0" shrinkToFit="0" vertical="bottom" wrapText="0"/>
    </xf>
    <xf borderId="2" fillId="0" fontId="14" numFmtId="0" xfId="0" applyAlignment="1" applyBorder="1" applyFont="1">
      <alignment readingOrder="0" shrinkToFit="0" vertical="bottom" wrapText="0"/>
    </xf>
    <xf borderId="2" fillId="0" fontId="14" numFmtId="0" xfId="0" applyAlignment="1" applyBorder="1" applyFont="1">
      <alignment horizontal="right" readingOrder="0" shrinkToFit="0" vertical="bottom" wrapText="0"/>
    </xf>
    <xf borderId="1" fillId="0" fontId="15" numFmtId="0" xfId="0" applyAlignment="1" applyBorder="1" applyFont="1">
      <alignment horizontal="center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2" fillId="0" fontId="14" numFmtId="3" xfId="0" applyAlignment="1" applyBorder="1" applyFont="1" applyNumberFormat="1">
      <alignment horizontal="right" readingOrder="0" shrinkToFit="0" vertical="bottom" wrapText="0"/>
    </xf>
    <xf borderId="2" fillId="0" fontId="14" numFmtId="0" xfId="0" applyAlignment="1" applyBorder="1" applyFont="1">
      <alignment shrinkToFit="0" vertical="bottom" wrapText="0"/>
    </xf>
    <xf borderId="0" fillId="4" fontId="10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6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5"/>
      <c r="J1" s="6"/>
      <c r="K1" s="7"/>
      <c r="L1" s="6"/>
      <c r="M1" s="6"/>
      <c r="N1" s="6"/>
      <c r="O1" s="6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8">
        <v>46091.0</v>
      </c>
      <c r="B2" s="9">
        <v>206.91</v>
      </c>
      <c r="C2" s="9">
        <v>209.86</v>
      </c>
      <c r="D2" s="9">
        <v>205.5</v>
      </c>
      <c r="E2" s="9">
        <v>207.66</v>
      </c>
      <c r="F2" s="10">
        <v>207.66</v>
      </c>
      <c r="G2" s="9">
        <v>295467.0</v>
      </c>
      <c r="I2" s="11" t="s">
        <v>7</v>
      </c>
      <c r="J2" s="12"/>
      <c r="K2" s="12"/>
      <c r="L2" s="12"/>
      <c r="M2" s="12"/>
      <c r="N2" s="12"/>
      <c r="O2" s="12"/>
    </row>
    <row r="3" ht="15.75" customHeight="1">
      <c r="A3" s="8">
        <v>46090.0</v>
      </c>
      <c r="B3" s="9">
        <v>201.79</v>
      </c>
      <c r="C3" s="9">
        <v>209.86</v>
      </c>
      <c r="D3" s="9">
        <v>197.51</v>
      </c>
      <c r="E3" s="9">
        <v>207.66</v>
      </c>
      <c r="F3" s="10">
        <v>207.66</v>
      </c>
      <c r="G3" s="9">
        <v>674000.0</v>
      </c>
      <c r="I3" s="12"/>
      <c r="J3" s="12"/>
      <c r="K3" s="12"/>
      <c r="L3" s="12"/>
      <c r="M3" s="12"/>
      <c r="N3" s="12"/>
      <c r="O3" s="12"/>
    </row>
    <row r="4" ht="15.75" customHeight="1">
      <c r="A4" s="8">
        <v>46083.0</v>
      </c>
      <c r="B4" s="9">
        <v>201.36</v>
      </c>
      <c r="C4" s="9">
        <v>209.24</v>
      </c>
      <c r="D4" s="9">
        <v>200.06</v>
      </c>
      <c r="E4" s="9">
        <v>204.39</v>
      </c>
      <c r="F4" s="10">
        <v>204.39</v>
      </c>
      <c r="G4" s="9">
        <v>2390700.0</v>
      </c>
      <c r="I4" s="11" t="s">
        <v>8</v>
      </c>
      <c r="J4" s="12"/>
      <c r="K4" s="12"/>
      <c r="L4" s="12"/>
      <c r="M4" s="12"/>
      <c r="N4" s="12"/>
      <c r="O4" s="12"/>
    </row>
    <row r="5" ht="15.75" customHeight="1">
      <c r="A5" s="8">
        <v>46076.0</v>
      </c>
      <c r="B5" s="9">
        <v>182.01</v>
      </c>
      <c r="C5" s="9">
        <v>205.0</v>
      </c>
      <c r="D5" s="9">
        <v>179.6</v>
      </c>
      <c r="E5" s="9">
        <v>202.4</v>
      </c>
      <c r="F5" s="10">
        <v>202.4</v>
      </c>
      <c r="G5" s="9">
        <v>3207500.0</v>
      </c>
      <c r="I5" s="11" t="s">
        <v>9</v>
      </c>
      <c r="J5" s="12"/>
      <c r="K5" s="12"/>
      <c r="L5" s="12"/>
      <c r="M5" s="12"/>
      <c r="N5" s="12"/>
      <c r="O5" s="12"/>
    </row>
    <row r="6" ht="15.75" customHeight="1">
      <c r="A6" s="8">
        <v>46069.0</v>
      </c>
      <c r="B6" s="9">
        <v>163.05</v>
      </c>
      <c r="C6" s="9">
        <v>185.99</v>
      </c>
      <c r="D6" s="9">
        <v>162.5</v>
      </c>
      <c r="E6" s="9">
        <v>182.22</v>
      </c>
      <c r="F6" s="10">
        <v>182.22</v>
      </c>
      <c r="G6" s="9">
        <v>2428200.0</v>
      </c>
      <c r="I6" s="12"/>
      <c r="J6" s="12"/>
      <c r="K6" s="12"/>
      <c r="L6" s="12"/>
      <c r="M6" s="12"/>
      <c r="N6" s="12"/>
      <c r="O6" s="12"/>
    </row>
    <row r="7" ht="15.75" customHeight="1">
      <c r="A7" s="8">
        <v>46062.0</v>
      </c>
      <c r="B7" s="9">
        <v>158.13</v>
      </c>
      <c r="C7" s="9">
        <v>166.48</v>
      </c>
      <c r="D7" s="9">
        <v>152.94</v>
      </c>
      <c r="E7" s="9">
        <v>161.91</v>
      </c>
      <c r="F7" s="10">
        <v>161.91</v>
      </c>
      <c r="G7" s="9">
        <v>1939000.0</v>
      </c>
      <c r="I7" s="11"/>
      <c r="J7" s="12"/>
      <c r="K7" s="12"/>
      <c r="L7" s="12"/>
      <c r="M7" s="12"/>
      <c r="N7" s="12"/>
      <c r="O7" s="12"/>
    </row>
    <row r="8" ht="15.75" customHeight="1">
      <c r="A8" s="8">
        <v>46055.0</v>
      </c>
      <c r="B8" s="9">
        <v>152.26</v>
      </c>
      <c r="C8" s="9">
        <v>159.75</v>
      </c>
      <c r="D8" s="9">
        <v>148.81</v>
      </c>
      <c r="E8" s="9">
        <v>157.74</v>
      </c>
      <c r="F8" s="10">
        <v>157.74</v>
      </c>
      <c r="G8" s="9">
        <v>2380400.0</v>
      </c>
      <c r="I8" s="12"/>
      <c r="J8" s="12"/>
      <c r="K8" s="12"/>
      <c r="L8" s="12"/>
      <c r="M8" s="12"/>
      <c r="N8" s="12"/>
      <c r="O8" s="12"/>
    </row>
    <row r="9" ht="15.75" customHeight="1">
      <c r="A9" s="8">
        <v>46048.0</v>
      </c>
      <c r="B9" s="9">
        <v>150.6</v>
      </c>
      <c r="C9" s="9">
        <v>152.24</v>
      </c>
      <c r="D9" s="9">
        <v>146.8</v>
      </c>
      <c r="E9" s="9">
        <v>152.06</v>
      </c>
      <c r="F9" s="10">
        <v>152.06</v>
      </c>
      <c r="G9" s="9">
        <v>1605400.0</v>
      </c>
      <c r="I9" s="11"/>
      <c r="J9" s="12"/>
      <c r="K9" s="12"/>
      <c r="L9" s="12"/>
      <c r="M9" s="12"/>
      <c r="N9" s="12"/>
      <c r="O9" s="12"/>
    </row>
    <row r="10" ht="15.75" customHeight="1">
      <c r="A10" s="8">
        <v>46045.0</v>
      </c>
      <c r="B10" s="9" t="s">
        <v>10</v>
      </c>
    </row>
    <row r="11" ht="15.75" customHeight="1">
      <c r="A11" s="8">
        <v>46041.0</v>
      </c>
      <c r="B11" s="9">
        <v>150.99</v>
      </c>
      <c r="C11" s="9">
        <v>155.41</v>
      </c>
      <c r="D11" s="9">
        <v>148.5</v>
      </c>
      <c r="E11" s="9">
        <v>150.21</v>
      </c>
      <c r="F11" s="10">
        <v>149.96</v>
      </c>
      <c r="G11" s="9">
        <v>1377000.0</v>
      </c>
    </row>
    <row r="12" ht="15.75" customHeight="1">
      <c r="A12" s="8">
        <v>46034.0</v>
      </c>
      <c r="B12" s="9">
        <v>150.52</v>
      </c>
      <c r="C12" s="9">
        <v>154.5</v>
      </c>
      <c r="D12" s="9">
        <v>147.28</v>
      </c>
      <c r="E12" s="9">
        <v>151.48</v>
      </c>
      <c r="F12" s="10">
        <v>151.23</v>
      </c>
      <c r="G12" s="9">
        <v>2122600.0</v>
      </c>
    </row>
    <row r="13" ht="15.75" customHeight="1">
      <c r="A13" s="8">
        <v>46027.0</v>
      </c>
      <c r="B13" s="9">
        <v>148.68</v>
      </c>
      <c r="C13" s="9">
        <v>150.95</v>
      </c>
      <c r="D13" s="9">
        <v>142.83</v>
      </c>
      <c r="E13" s="9">
        <v>150.35</v>
      </c>
      <c r="F13" s="10">
        <v>150.1</v>
      </c>
      <c r="G13" s="9">
        <v>2345600.0</v>
      </c>
    </row>
    <row r="14" ht="15.75" customHeight="1">
      <c r="A14" s="8">
        <v>46020.0</v>
      </c>
      <c r="B14" s="9">
        <v>160.63</v>
      </c>
      <c r="C14" s="9">
        <v>161.2</v>
      </c>
      <c r="D14" s="9">
        <v>149.35</v>
      </c>
      <c r="E14" s="9">
        <v>149.84</v>
      </c>
      <c r="F14" s="10">
        <v>149.59</v>
      </c>
      <c r="G14" s="9">
        <v>2613600.0</v>
      </c>
    </row>
    <row r="15" ht="15.75" customHeight="1">
      <c r="A15" s="8">
        <v>46013.0</v>
      </c>
      <c r="B15" s="9">
        <v>165.68</v>
      </c>
      <c r="C15" s="9">
        <v>166.18</v>
      </c>
      <c r="D15" s="9">
        <v>160.27</v>
      </c>
      <c r="E15" s="9">
        <v>160.63</v>
      </c>
      <c r="F15" s="10">
        <v>160.36</v>
      </c>
      <c r="G15" s="9">
        <v>1418100.0</v>
      </c>
    </row>
    <row r="16" ht="15.75" customHeight="1">
      <c r="A16" s="8">
        <v>46006.0</v>
      </c>
      <c r="B16" s="9">
        <v>165.67</v>
      </c>
      <c r="C16" s="9">
        <v>169.49</v>
      </c>
      <c r="D16" s="9">
        <v>160.3</v>
      </c>
      <c r="E16" s="9">
        <v>166.18</v>
      </c>
      <c r="F16" s="10">
        <v>165.9</v>
      </c>
      <c r="G16" s="9">
        <v>4682000.0</v>
      </c>
    </row>
    <row r="17" ht="15.75" customHeight="1">
      <c r="A17" s="8">
        <v>45999.0</v>
      </c>
      <c r="B17" s="9">
        <v>167.3</v>
      </c>
      <c r="C17" s="9">
        <v>168.08</v>
      </c>
      <c r="D17" s="9">
        <v>159.13</v>
      </c>
      <c r="E17" s="9">
        <v>165.78</v>
      </c>
      <c r="F17" s="10">
        <v>165.5</v>
      </c>
      <c r="G17" s="9">
        <v>2540500.0</v>
      </c>
    </row>
    <row r="18" ht="15.75" customHeight="1">
      <c r="A18" s="8">
        <v>45992.0</v>
      </c>
      <c r="B18" s="9">
        <v>163.2</v>
      </c>
      <c r="C18" s="9">
        <v>168.21</v>
      </c>
      <c r="D18" s="9">
        <v>160.59</v>
      </c>
      <c r="E18" s="9">
        <v>168.08</v>
      </c>
      <c r="F18" s="10">
        <v>167.8</v>
      </c>
      <c r="G18" s="9">
        <v>1820000.0</v>
      </c>
    </row>
    <row r="19" ht="15.75" customHeight="1">
      <c r="A19" s="8">
        <v>45985.0</v>
      </c>
      <c r="B19" s="9">
        <v>161.51</v>
      </c>
      <c r="C19" s="9">
        <v>165.88</v>
      </c>
      <c r="D19" s="9">
        <v>160.83</v>
      </c>
      <c r="E19" s="9">
        <v>162.95</v>
      </c>
      <c r="F19" s="10">
        <v>162.68</v>
      </c>
      <c r="G19" s="9">
        <v>2016700.0</v>
      </c>
    </row>
    <row r="20" ht="15.75" customHeight="1">
      <c r="A20" s="8">
        <v>45978.0</v>
      </c>
      <c r="B20" s="9">
        <v>159.5</v>
      </c>
      <c r="C20" s="9">
        <v>166.21</v>
      </c>
      <c r="D20" s="9">
        <v>157.11</v>
      </c>
      <c r="E20" s="9">
        <v>161.51</v>
      </c>
      <c r="F20" s="10">
        <v>161.24</v>
      </c>
      <c r="G20" s="9">
        <v>2383900.0</v>
      </c>
    </row>
    <row r="21" ht="15.75" customHeight="1">
      <c r="A21" s="8">
        <v>45971.0</v>
      </c>
      <c r="B21" s="9">
        <v>138.29</v>
      </c>
      <c r="C21" s="9">
        <v>162.43</v>
      </c>
      <c r="D21" s="9">
        <v>136.97</v>
      </c>
      <c r="E21" s="9">
        <v>159.54</v>
      </c>
      <c r="F21" s="10">
        <v>159.27</v>
      </c>
      <c r="G21" s="9">
        <v>3622300.0</v>
      </c>
    </row>
    <row r="22" ht="15.75" customHeight="1">
      <c r="A22" s="8">
        <v>45964.0</v>
      </c>
      <c r="B22" s="9">
        <v>130.33</v>
      </c>
      <c r="C22" s="9">
        <v>138.41</v>
      </c>
      <c r="D22" s="9">
        <v>127.09</v>
      </c>
      <c r="E22" s="9">
        <v>137.78</v>
      </c>
      <c r="F22" s="10">
        <v>137.55</v>
      </c>
      <c r="G22" s="9">
        <v>1690700.0</v>
      </c>
    </row>
    <row r="23" ht="15.75" customHeight="1">
      <c r="A23" s="8">
        <v>45957.0</v>
      </c>
      <c r="B23" s="9">
        <v>127.71</v>
      </c>
      <c r="C23" s="9">
        <v>138.9</v>
      </c>
      <c r="D23" s="9">
        <v>126.0</v>
      </c>
      <c r="E23" s="9">
        <v>130.38</v>
      </c>
      <c r="F23" s="10">
        <v>130.16</v>
      </c>
      <c r="G23" s="9">
        <v>2573100.0</v>
      </c>
    </row>
    <row r="24" ht="15.75" customHeight="1">
      <c r="A24" s="8">
        <v>45954.0</v>
      </c>
      <c r="B24" s="9" t="s">
        <v>10</v>
      </c>
    </row>
    <row r="25" ht="15.75" customHeight="1">
      <c r="A25" s="8">
        <v>45950.0</v>
      </c>
      <c r="B25" s="9">
        <v>132.0</v>
      </c>
      <c r="C25" s="9">
        <v>133.9</v>
      </c>
      <c r="D25" s="9">
        <v>126.75</v>
      </c>
      <c r="E25" s="9">
        <v>127.66</v>
      </c>
      <c r="F25" s="10">
        <v>127.2</v>
      </c>
      <c r="G25" s="9">
        <v>1827500.0</v>
      </c>
    </row>
    <row r="26" ht="15.75" customHeight="1">
      <c r="A26" s="8">
        <v>45943.0</v>
      </c>
      <c r="B26" s="9">
        <v>123.54</v>
      </c>
      <c r="C26" s="9">
        <v>131.88</v>
      </c>
      <c r="D26" s="9">
        <v>123.42</v>
      </c>
      <c r="E26" s="9">
        <v>131.68</v>
      </c>
      <c r="F26" s="10">
        <v>131.2</v>
      </c>
      <c r="G26" s="9">
        <v>2329200.0</v>
      </c>
    </row>
    <row r="27" ht="15.75" customHeight="1">
      <c r="A27" s="8">
        <v>45936.0</v>
      </c>
      <c r="B27" s="9">
        <v>119.78</v>
      </c>
      <c r="C27" s="9">
        <v>125.84</v>
      </c>
      <c r="D27" s="9">
        <v>118.02</v>
      </c>
      <c r="E27" s="9">
        <v>124.48</v>
      </c>
      <c r="F27" s="10">
        <v>124.03</v>
      </c>
      <c r="G27" s="9">
        <v>2866700.0</v>
      </c>
    </row>
    <row r="28" ht="15.75" customHeight="1">
      <c r="A28" s="8">
        <v>45929.0</v>
      </c>
      <c r="B28" s="9">
        <v>115.29</v>
      </c>
      <c r="C28" s="9">
        <v>121.58</v>
      </c>
      <c r="D28" s="9">
        <v>114.15</v>
      </c>
      <c r="E28" s="9">
        <v>120.65</v>
      </c>
      <c r="F28" s="10">
        <v>120.21</v>
      </c>
      <c r="G28" s="9">
        <v>2393200.0</v>
      </c>
    </row>
    <row r="29" ht="15.75" customHeight="1">
      <c r="A29" s="8">
        <v>45922.0</v>
      </c>
      <c r="B29" s="9">
        <v>112.82</v>
      </c>
      <c r="C29" s="9">
        <v>117.0</v>
      </c>
      <c r="D29" s="9">
        <v>112.17</v>
      </c>
      <c r="E29" s="9">
        <v>115.39</v>
      </c>
      <c r="F29" s="10">
        <v>114.97</v>
      </c>
      <c r="G29" s="9">
        <v>2821100.0</v>
      </c>
    </row>
    <row r="30" ht="15.75" customHeight="1">
      <c r="A30" s="8">
        <v>45915.0</v>
      </c>
      <c r="B30" s="9">
        <v>122.15</v>
      </c>
      <c r="C30" s="9">
        <v>123.89</v>
      </c>
      <c r="D30" s="9">
        <v>110.6</v>
      </c>
      <c r="E30" s="9">
        <v>113.22</v>
      </c>
      <c r="F30" s="10">
        <v>112.81</v>
      </c>
      <c r="G30" s="9">
        <v>5403400.0</v>
      </c>
    </row>
    <row r="31" ht="15.75" customHeight="1">
      <c r="A31" s="8">
        <v>45908.0</v>
      </c>
      <c r="B31" s="9">
        <v>120.63</v>
      </c>
      <c r="C31" s="9">
        <v>125.47</v>
      </c>
      <c r="D31" s="9">
        <v>119.0</v>
      </c>
      <c r="E31" s="9">
        <v>121.98</v>
      </c>
      <c r="F31" s="10">
        <v>121.54</v>
      </c>
      <c r="G31" s="9">
        <v>2488700.0</v>
      </c>
    </row>
    <row r="32" ht="15.75" customHeight="1">
      <c r="A32" s="8">
        <v>45901.0</v>
      </c>
      <c r="B32" s="9">
        <v>116.75</v>
      </c>
      <c r="C32" s="9">
        <v>121.4</v>
      </c>
      <c r="D32" s="9">
        <v>115.41</v>
      </c>
      <c r="E32" s="9">
        <v>120.81</v>
      </c>
      <c r="F32" s="10">
        <v>120.37</v>
      </c>
      <c r="G32" s="9">
        <v>1888900.0</v>
      </c>
    </row>
    <row r="33" ht="15.75" customHeight="1">
      <c r="A33" s="8">
        <v>45894.0</v>
      </c>
      <c r="B33" s="9">
        <v>118.58</v>
      </c>
      <c r="C33" s="9">
        <v>119.39</v>
      </c>
      <c r="D33" s="9">
        <v>114.69</v>
      </c>
      <c r="E33" s="9">
        <v>117.24</v>
      </c>
      <c r="F33" s="10">
        <v>116.82</v>
      </c>
      <c r="G33" s="9">
        <v>1993800.0</v>
      </c>
    </row>
    <row r="34" ht="15.75" customHeight="1">
      <c r="A34" s="8">
        <v>45887.0</v>
      </c>
      <c r="B34" s="9">
        <v>113.2</v>
      </c>
      <c r="C34" s="9">
        <v>120.56</v>
      </c>
      <c r="D34" s="9">
        <v>113.2</v>
      </c>
      <c r="E34" s="9">
        <v>119.23</v>
      </c>
      <c r="F34" s="10">
        <v>118.8</v>
      </c>
      <c r="G34" s="9">
        <v>2194800.0</v>
      </c>
    </row>
    <row r="35" ht="15.75" customHeight="1">
      <c r="A35" s="8">
        <v>45880.0</v>
      </c>
      <c r="B35" s="9">
        <v>114.0</v>
      </c>
      <c r="C35" s="9">
        <v>115.88</v>
      </c>
      <c r="D35" s="9">
        <v>112.89</v>
      </c>
      <c r="E35" s="9">
        <v>113.05</v>
      </c>
      <c r="F35" s="10">
        <v>112.64</v>
      </c>
      <c r="G35" s="9">
        <v>1566300.0</v>
      </c>
    </row>
    <row r="36" ht="15.75" customHeight="1">
      <c r="A36" s="8">
        <v>45873.0</v>
      </c>
      <c r="B36" s="9">
        <v>112.34</v>
      </c>
      <c r="C36" s="9">
        <v>115.15</v>
      </c>
      <c r="D36" s="9">
        <v>111.68</v>
      </c>
      <c r="E36" s="9">
        <v>114.11</v>
      </c>
      <c r="F36" s="10">
        <v>113.7</v>
      </c>
      <c r="G36" s="9">
        <v>2025100.0</v>
      </c>
    </row>
    <row r="37" ht="15.75" customHeight="1">
      <c r="A37" s="8">
        <v>45866.0</v>
      </c>
      <c r="B37" s="9">
        <v>118.02</v>
      </c>
      <c r="C37" s="9">
        <v>118.71</v>
      </c>
      <c r="D37" s="9">
        <v>110.4</v>
      </c>
      <c r="E37" s="9">
        <v>112.41</v>
      </c>
      <c r="F37" s="10">
        <v>112.0</v>
      </c>
      <c r="G37" s="9">
        <v>3031900.0</v>
      </c>
    </row>
    <row r="38" ht="15.75" customHeight="1">
      <c r="A38" s="8">
        <v>45863.0</v>
      </c>
      <c r="B38" s="9" t="s">
        <v>10</v>
      </c>
    </row>
    <row r="39" ht="15.75" customHeight="1">
      <c r="A39" s="8">
        <v>45859.0</v>
      </c>
      <c r="B39" s="9">
        <v>113.51</v>
      </c>
      <c r="C39" s="9">
        <v>124.5</v>
      </c>
      <c r="D39" s="9">
        <v>111.7</v>
      </c>
      <c r="E39" s="9">
        <v>118.8</v>
      </c>
      <c r="F39" s="10">
        <v>118.11</v>
      </c>
      <c r="G39" s="9">
        <v>4362600.0</v>
      </c>
    </row>
    <row r="40" ht="15.75" customHeight="1">
      <c r="A40" s="8">
        <v>45852.0</v>
      </c>
      <c r="B40" s="9">
        <v>113.95</v>
      </c>
      <c r="C40" s="9">
        <v>114.7</v>
      </c>
      <c r="D40" s="9">
        <v>109.42</v>
      </c>
      <c r="E40" s="9">
        <v>113.36</v>
      </c>
      <c r="F40" s="10">
        <v>112.7</v>
      </c>
      <c r="G40" s="9">
        <v>2586900.0</v>
      </c>
    </row>
    <row r="41" ht="15.75" customHeight="1">
      <c r="A41" s="8">
        <v>45845.0</v>
      </c>
      <c r="B41" s="9">
        <v>117.71</v>
      </c>
      <c r="C41" s="9">
        <v>119.0</v>
      </c>
      <c r="D41" s="9">
        <v>112.26</v>
      </c>
      <c r="E41" s="9">
        <v>113.95</v>
      </c>
      <c r="F41" s="10">
        <v>113.28</v>
      </c>
      <c r="G41" s="9">
        <v>3077500.0</v>
      </c>
    </row>
    <row r="42" ht="15.75" customHeight="1">
      <c r="A42" s="8">
        <v>45838.0</v>
      </c>
      <c r="B42" s="9">
        <v>111.0</v>
      </c>
      <c r="C42" s="9">
        <v>118.05</v>
      </c>
      <c r="D42" s="9">
        <v>110.22</v>
      </c>
      <c r="E42" s="9">
        <v>117.71</v>
      </c>
      <c r="F42" s="10">
        <v>117.02</v>
      </c>
      <c r="G42" s="9">
        <v>2905500.0</v>
      </c>
    </row>
    <row r="43" ht="15.75" customHeight="1">
      <c r="A43" s="8">
        <v>45831.0</v>
      </c>
      <c r="B43" s="9">
        <v>106.69</v>
      </c>
      <c r="C43" s="9">
        <v>112.56</v>
      </c>
      <c r="D43" s="9">
        <v>106.69</v>
      </c>
      <c r="E43" s="9">
        <v>111.45</v>
      </c>
      <c r="F43" s="10">
        <v>110.8</v>
      </c>
      <c r="G43" s="9">
        <v>4160300.0</v>
      </c>
    </row>
    <row r="44" ht="15.75" customHeight="1">
      <c r="A44" s="8">
        <v>45824.0</v>
      </c>
      <c r="B44" s="9">
        <v>109.05</v>
      </c>
      <c r="C44" s="9">
        <v>109.27</v>
      </c>
      <c r="D44" s="9">
        <v>105.44</v>
      </c>
      <c r="E44" s="9">
        <v>107.14</v>
      </c>
      <c r="F44" s="10">
        <v>106.51</v>
      </c>
      <c r="G44" s="9">
        <v>3569800.0</v>
      </c>
    </row>
    <row r="45" ht="15.75" customHeight="1">
      <c r="A45" s="8">
        <v>45817.0</v>
      </c>
      <c r="B45" s="9">
        <v>108.66</v>
      </c>
      <c r="C45" s="9">
        <v>112.0</v>
      </c>
      <c r="D45" s="9">
        <v>107.35</v>
      </c>
      <c r="E45" s="9">
        <v>108.62</v>
      </c>
      <c r="F45" s="10">
        <v>107.98</v>
      </c>
      <c r="G45" s="9">
        <v>2498100.0</v>
      </c>
    </row>
    <row r="46" ht="15.75" customHeight="1">
      <c r="A46" s="8">
        <v>45810.0</v>
      </c>
      <c r="B46" s="9">
        <v>113.98</v>
      </c>
      <c r="C46" s="9">
        <v>113.98</v>
      </c>
      <c r="D46" s="9">
        <v>105.21</v>
      </c>
      <c r="E46" s="9">
        <v>108.66</v>
      </c>
      <c r="F46" s="10">
        <v>108.02</v>
      </c>
      <c r="G46" s="9">
        <v>3566000.0</v>
      </c>
    </row>
    <row r="47" ht="15.75" customHeight="1">
      <c r="A47" s="8">
        <v>45804.0</v>
      </c>
      <c r="B47" s="9" t="s">
        <v>11</v>
      </c>
    </row>
    <row r="48" ht="15.75" customHeight="1">
      <c r="A48" s="8">
        <v>45803.0</v>
      </c>
      <c r="B48" s="9">
        <v>115.73</v>
      </c>
      <c r="C48" s="9">
        <v>117.85</v>
      </c>
      <c r="D48" s="9">
        <v>110.82</v>
      </c>
      <c r="E48" s="9">
        <v>114.65</v>
      </c>
      <c r="F48" s="10">
        <v>113.98</v>
      </c>
      <c r="G48" s="9">
        <v>3126000.0</v>
      </c>
    </row>
    <row r="49" ht="15.75" customHeight="1">
      <c r="A49" s="8">
        <v>45796.0</v>
      </c>
      <c r="B49" s="9">
        <v>117.59</v>
      </c>
      <c r="C49" s="9">
        <v>118.36</v>
      </c>
      <c r="D49" s="9">
        <v>112.08</v>
      </c>
      <c r="E49" s="9">
        <v>114.36</v>
      </c>
      <c r="F49" s="10">
        <v>113.69</v>
      </c>
      <c r="G49" s="9">
        <v>2612000.0</v>
      </c>
    </row>
    <row r="50" ht="15.75" customHeight="1">
      <c r="A50" s="8">
        <v>45789.0</v>
      </c>
      <c r="B50" s="9">
        <v>117.0</v>
      </c>
      <c r="C50" s="9">
        <v>119.15</v>
      </c>
      <c r="D50" s="9">
        <v>113.5</v>
      </c>
      <c r="E50" s="9">
        <v>117.59</v>
      </c>
      <c r="F50" s="10">
        <v>116.9</v>
      </c>
      <c r="G50" s="9">
        <v>3554000.0</v>
      </c>
    </row>
    <row r="51" ht="15.75" customHeight="1">
      <c r="A51" s="8">
        <v>45782.0</v>
      </c>
      <c r="B51" s="9">
        <v>113.47</v>
      </c>
      <c r="C51" s="9">
        <v>120.26</v>
      </c>
      <c r="D51" s="9">
        <v>110.65</v>
      </c>
      <c r="E51" s="9">
        <v>115.25</v>
      </c>
      <c r="F51" s="10">
        <v>114.58</v>
      </c>
      <c r="G51" s="9">
        <v>4442000.0</v>
      </c>
    </row>
    <row r="52" ht="15.75" customHeight="1">
      <c r="A52" s="8">
        <v>45775.0</v>
      </c>
      <c r="B52" s="9">
        <v>136.99</v>
      </c>
      <c r="C52" s="9">
        <v>137.0</v>
      </c>
      <c r="D52" s="9">
        <v>114.06</v>
      </c>
      <c r="E52" s="9">
        <v>114.5</v>
      </c>
      <c r="F52" s="10">
        <v>113.83</v>
      </c>
      <c r="G52" s="9">
        <v>4570000.0</v>
      </c>
    </row>
    <row r="53" ht="15.75" customHeight="1">
      <c r="A53" s="8">
        <v>45772.0</v>
      </c>
      <c r="B53" s="9" t="s">
        <v>10</v>
      </c>
    </row>
    <row r="54" ht="15.75" customHeight="1">
      <c r="A54" s="8">
        <v>45768.0</v>
      </c>
      <c r="B54" s="9">
        <v>141.58</v>
      </c>
      <c r="C54" s="9">
        <v>142.13</v>
      </c>
      <c r="D54" s="9">
        <v>134.77</v>
      </c>
      <c r="E54" s="9">
        <v>136.9</v>
      </c>
      <c r="F54" s="10">
        <v>135.86</v>
      </c>
      <c r="G54" s="9">
        <v>2202000.0</v>
      </c>
    </row>
    <row r="55" ht="15.75" customHeight="1">
      <c r="A55" s="8">
        <v>45761.0</v>
      </c>
      <c r="B55" s="9">
        <v>142.16</v>
      </c>
      <c r="C55" s="9">
        <v>143.4</v>
      </c>
      <c r="D55" s="9">
        <v>138.85</v>
      </c>
      <c r="E55" s="9">
        <v>141.6</v>
      </c>
      <c r="F55" s="10">
        <v>140.52</v>
      </c>
      <c r="G55" s="9">
        <v>1511000.0</v>
      </c>
    </row>
    <row r="56" ht="15.75" customHeight="1">
      <c r="A56" s="8">
        <v>45754.0</v>
      </c>
      <c r="B56" s="9">
        <v>126.32</v>
      </c>
      <c r="C56" s="9">
        <v>140.63</v>
      </c>
      <c r="D56" s="9">
        <v>122.5</v>
      </c>
      <c r="E56" s="9">
        <v>139.52</v>
      </c>
      <c r="F56" s="10">
        <v>138.45</v>
      </c>
      <c r="G56" s="9">
        <v>3441000.0</v>
      </c>
    </row>
    <row r="57" ht="15.75" customHeight="1">
      <c r="A57" s="8">
        <v>45747.0</v>
      </c>
      <c r="B57" s="9">
        <v>132.01</v>
      </c>
      <c r="C57" s="9">
        <v>140.66</v>
      </c>
      <c r="D57" s="9">
        <v>130.61</v>
      </c>
      <c r="E57" s="9">
        <v>130.61</v>
      </c>
      <c r="F57" s="10">
        <v>129.61</v>
      </c>
      <c r="G57" s="9">
        <v>2703000.0</v>
      </c>
    </row>
    <row r="58" ht="15.75" customHeight="1">
      <c r="A58" s="8">
        <v>45740.0</v>
      </c>
      <c r="B58" s="9">
        <v>130.76</v>
      </c>
      <c r="C58" s="9">
        <v>133.45</v>
      </c>
      <c r="D58" s="9">
        <v>126.82</v>
      </c>
      <c r="E58" s="9">
        <v>133.02</v>
      </c>
      <c r="F58" s="10">
        <v>132.0</v>
      </c>
      <c r="G58" s="9">
        <v>2037000.0</v>
      </c>
    </row>
    <row r="59" ht="15.75" customHeight="1">
      <c r="A59" s="8">
        <v>45733.0</v>
      </c>
      <c r="B59" s="9">
        <v>132.69</v>
      </c>
      <c r="C59" s="9">
        <v>134.9</v>
      </c>
      <c r="D59" s="9">
        <v>129.38</v>
      </c>
      <c r="E59" s="9">
        <v>130.06</v>
      </c>
      <c r="F59" s="10">
        <v>129.07</v>
      </c>
      <c r="G59" s="9">
        <v>3144000.0</v>
      </c>
    </row>
    <row r="60" ht="15.75" customHeight="1">
      <c r="A60" s="8">
        <v>45726.0</v>
      </c>
      <c r="B60" s="9">
        <v>122.76</v>
      </c>
      <c r="C60" s="9">
        <v>134.81</v>
      </c>
      <c r="D60" s="9">
        <v>122.76</v>
      </c>
      <c r="E60" s="9">
        <v>131.85</v>
      </c>
      <c r="F60" s="10">
        <v>130.84</v>
      </c>
      <c r="G60" s="9">
        <v>2003000.0</v>
      </c>
    </row>
    <row r="61" ht="15.75" customHeight="1">
      <c r="A61" s="13"/>
      <c r="B61" s="14"/>
      <c r="C61" s="14"/>
      <c r="D61" s="14"/>
      <c r="E61" s="14"/>
      <c r="F61" s="15"/>
      <c r="G61" s="14"/>
    </row>
    <row r="62" ht="15.75" customHeight="1">
      <c r="A62" s="13"/>
      <c r="B62" s="14"/>
      <c r="C62" s="14"/>
      <c r="D62" s="14"/>
      <c r="E62" s="14"/>
      <c r="F62" s="15"/>
      <c r="G62" s="14"/>
    </row>
    <row r="63" ht="15.75" customHeight="1">
      <c r="A63" s="13"/>
      <c r="B63" s="14"/>
      <c r="C63" s="14"/>
      <c r="D63" s="14"/>
      <c r="E63" s="14"/>
      <c r="F63" s="15"/>
      <c r="G63" s="14"/>
    </row>
    <row r="64" ht="15.75" customHeight="1">
      <c r="A64" s="13"/>
      <c r="B64" s="14"/>
      <c r="C64" s="14"/>
      <c r="D64" s="14"/>
      <c r="E64" s="14"/>
      <c r="F64" s="15"/>
      <c r="G64" s="14"/>
    </row>
    <row r="65" ht="15.75" customHeight="1">
      <c r="A65" s="13"/>
      <c r="B65" s="14"/>
      <c r="C65" s="14"/>
      <c r="D65" s="14"/>
      <c r="E65" s="14"/>
      <c r="F65" s="15"/>
      <c r="G65" s="14"/>
    </row>
    <row r="66" ht="15.75" customHeight="1">
      <c r="A66" s="13"/>
      <c r="B66" s="14"/>
      <c r="C66" s="14"/>
      <c r="D66" s="14"/>
      <c r="E66" s="14"/>
      <c r="F66" s="15"/>
      <c r="G66" s="14"/>
    </row>
    <row r="67" ht="15.75" customHeight="1">
      <c r="A67" s="13"/>
      <c r="B67" s="14"/>
      <c r="C67" s="14"/>
      <c r="D67" s="14"/>
      <c r="E67" s="14"/>
      <c r="F67" s="15"/>
      <c r="G67" s="14"/>
    </row>
    <row r="68" ht="15.75" customHeight="1">
      <c r="A68" s="13"/>
      <c r="B68" s="14"/>
      <c r="C68" s="14"/>
      <c r="D68" s="14"/>
      <c r="E68" s="14"/>
      <c r="F68" s="15"/>
      <c r="G68" s="14"/>
    </row>
    <row r="69" ht="15.75" customHeight="1">
      <c r="A69" s="13"/>
      <c r="B69" s="14"/>
      <c r="C69" s="14"/>
      <c r="D69" s="14"/>
      <c r="E69" s="14"/>
      <c r="F69" s="15"/>
      <c r="G69" s="14"/>
    </row>
    <row r="70" ht="15.75" customHeight="1">
      <c r="A70" s="13"/>
      <c r="B70" s="14"/>
      <c r="C70" s="14"/>
      <c r="D70" s="14"/>
      <c r="E70" s="14"/>
      <c r="F70" s="15"/>
      <c r="G70" s="14"/>
    </row>
    <row r="71" ht="15.75" customHeight="1">
      <c r="A71" s="13"/>
      <c r="B71" s="14"/>
      <c r="C71" s="14"/>
      <c r="D71" s="14"/>
      <c r="E71" s="14"/>
      <c r="F71" s="15"/>
      <c r="G71" s="14"/>
    </row>
    <row r="72" ht="15.75" customHeight="1">
      <c r="A72" s="13"/>
      <c r="B72" s="14"/>
      <c r="C72" s="14"/>
      <c r="D72" s="14"/>
      <c r="E72" s="14"/>
      <c r="F72" s="15"/>
      <c r="G72" s="14"/>
    </row>
    <row r="73" ht="15.75" customHeight="1">
      <c r="A73" s="13"/>
      <c r="B73" s="14"/>
      <c r="C73" s="14"/>
      <c r="D73" s="14"/>
      <c r="E73" s="14"/>
      <c r="F73" s="15"/>
      <c r="G73" s="14"/>
    </row>
    <row r="74" ht="15.75" customHeight="1">
      <c r="A74" s="13"/>
      <c r="B74" s="14"/>
      <c r="C74" s="14"/>
      <c r="D74" s="14"/>
      <c r="E74" s="14"/>
      <c r="F74" s="15"/>
      <c r="G74" s="14"/>
    </row>
    <row r="75" ht="15.75" customHeight="1">
      <c r="A75" s="13"/>
      <c r="B75" s="14"/>
      <c r="C75" s="14"/>
      <c r="D75" s="14"/>
      <c r="E75" s="14"/>
      <c r="F75" s="15"/>
      <c r="G75" s="14"/>
    </row>
    <row r="76" ht="15.75" customHeight="1">
      <c r="A76" s="13"/>
      <c r="B76" s="14"/>
      <c r="C76" s="14"/>
      <c r="D76" s="14"/>
      <c r="E76" s="14"/>
      <c r="F76" s="15"/>
      <c r="G76" s="14"/>
    </row>
    <row r="77" ht="15.75" customHeight="1">
      <c r="A77" s="13"/>
      <c r="B77" s="14"/>
      <c r="C77" s="14"/>
      <c r="D77" s="14"/>
      <c r="E77" s="14"/>
      <c r="F77" s="15"/>
      <c r="G77" s="14"/>
    </row>
    <row r="78" ht="15.75" customHeight="1">
      <c r="A78" s="13"/>
      <c r="B78" s="14"/>
      <c r="C78" s="14"/>
      <c r="D78" s="14"/>
      <c r="E78" s="14"/>
      <c r="F78" s="15"/>
      <c r="G78" s="14"/>
    </row>
    <row r="79" ht="15.75" customHeight="1">
      <c r="A79" s="13"/>
      <c r="B79" s="14"/>
      <c r="C79" s="14"/>
      <c r="D79" s="14"/>
      <c r="E79" s="14"/>
      <c r="F79" s="15"/>
      <c r="G79" s="14"/>
    </row>
    <row r="80" ht="15.75" customHeight="1">
      <c r="A80" s="13"/>
      <c r="B80" s="14"/>
      <c r="C80" s="14"/>
      <c r="D80" s="14"/>
      <c r="E80" s="14"/>
      <c r="F80" s="15"/>
      <c r="G80" s="14"/>
    </row>
    <row r="81" ht="15.75" customHeight="1">
      <c r="A81" s="13"/>
      <c r="B81" s="14"/>
      <c r="C81" s="14"/>
      <c r="D81" s="14"/>
      <c r="E81" s="14"/>
      <c r="F81" s="15"/>
      <c r="G81" s="14"/>
    </row>
    <row r="82" ht="15.75" customHeight="1">
      <c r="A82" s="13"/>
      <c r="B82" s="14"/>
      <c r="C82" s="14"/>
      <c r="D82" s="14"/>
      <c r="E82" s="14"/>
      <c r="F82" s="15"/>
      <c r="G82" s="14"/>
    </row>
    <row r="83" ht="15.75" customHeight="1">
      <c r="A83" s="13"/>
      <c r="B83" s="14"/>
      <c r="C83" s="14"/>
      <c r="D83" s="14"/>
      <c r="E83" s="14"/>
      <c r="F83" s="15"/>
      <c r="G83" s="14"/>
    </row>
    <row r="84" ht="15.75" customHeight="1">
      <c r="A84" s="13"/>
      <c r="B84" s="14"/>
      <c r="C84" s="14"/>
      <c r="D84" s="14"/>
      <c r="E84" s="14"/>
      <c r="F84" s="15"/>
      <c r="G84" s="14"/>
    </row>
    <row r="85" ht="15.75" customHeight="1">
      <c r="A85" s="13"/>
      <c r="B85" s="14"/>
      <c r="C85" s="14"/>
      <c r="D85" s="14"/>
      <c r="E85" s="14"/>
      <c r="F85" s="15"/>
      <c r="G85" s="14"/>
    </row>
    <row r="86" ht="15.75" customHeight="1">
      <c r="A86" s="13"/>
      <c r="B86" s="14"/>
      <c r="C86" s="14"/>
      <c r="D86" s="14"/>
      <c r="E86" s="14"/>
      <c r="F86" s="15"/>
      <c r="G86" s="14"/>
    </row>
    <row r="87" ht="15.75" customHeight="1">
      <c r="A87" s="13"/>
      <c r="B87" s="14"/>
      <c r="C87" s="14"/>
      <c r="D87" s="14"/>
      <c r="E87" s="14"/>
      <c r="F87" s="15"/>
      <c r="G87" s="14"/>
    </row>
    <row r="88" ht="15.75" customHeight="1">
      <c r="A88" s="13"/>
      <c r="B88" s="14"/>
      <c r="C88" s="14"/>
      <c r="D88" s="14"/>
      <c r="E88" s="14"/>
      <c r="F88" s="15"/>
      <c r="G88" s="14"/>
    </row>
    <row r="89" ht="15.75" customHeight="1">
      <c r="A89" s="13"/>
      <c r="B89" s="14"/>
      <c r="C89" s="14"/>
      <c r="D89" s="14"/>
      <c r="E89" s="14"/>
      <c r="F89" s="15"/>
      <c r="G89" s="14"/>
    </row>
    <row r="90" ht="15.75" customHeight="1">
      <c r="A90" s="13"/>
      <c r="B90" s="14"/>
      <c r="C90" s="14"/>
      <c r="D90" s="14"/>
      <c r="E90" s="14"/>
      <c r="F90" s="15"/>
      <c r="G90" s="14"/>
    </row>
    <row r="91" ht="15.75" customHeight="1">
      <c r="A91" s="13"/>
      <c r="B91" s="14"/>
      <c r="C91" s="14"/>
      <c r="D91" s="14"/>
      <c r="E91" s="14"/>
      <c r="F91" s="15"/>
      <c r="G91" s="14"/>
    </row>
    <row r="92" ht="15.75" customHeight="1">
      <c r="A92" s="13"/>
      <c r="B92" s="14"/>
      <c r="C92" s="14"/>
      <c r="D92" s="14"/>
      <c r="E92" s="14"/>
      <c r="F92" s="15"/>
      <c r="G92" s="14"/>
    </row>
    <row r="93" ht="15.75" customHeight="1">
      <c r="A93" s="13"/>
      <c r="B93" s="14"/>
      <c r="C93" s="14"/>
      <c r="D93" s="14"/>
      <c r="E93" s="14"/>
      <c r="F93" s="15"/>
      <c r="G93" s="14"/>
    </row>
    <row r="94" ht="15.75" customHeight="1">
      <c r="A94" s="13"/>
      <c r="B94" s="14"/>
      <c r="C94" s="14"/>
      <c r="D94" s="14"/>
      <c r="E94" s="14"/>
      <c r="F94" s="15"/>
      <c r="G94" s="14"/>
    </row>
    <row r="95" ht="15.75" customHeight="1">
      <c r="A95" s="13"/>
      <c r="B95" s="14"/>
      <c r="C95" s="14"/>
      <c r="D95" s="14"/>
      <c r="E95" s="14"/>
      <c r="F95" s="15"/>
      <c r="G95" s="14"/>
    </row>
    <row r="96" ht="15.75" customHeight="1">
      <c r="A96" s="13"/>
      <c r="B96" s="14"/>
      <c r="C96" s="14"/>
      <c r="D96" s="14"/>
      <c r="E96" s="14"/>
      <c r="F96" s="15"/>
      <c r="G96" s="14"/>
    </row>
    <row r="97" ht="15.75" customHeight="1">
      <c r="A97" s="13"/>
      <c r="B97" s="14"/>
      <c r="C97" s="14"/>
      <c r="D97" s="14"/>
      <c r="E97" s="14"/>
      <c r="F97" s="15"/>
      <c r="G97" s="14"/>
    </row>
    <row r="98" ht="15.75" customHeight="1">
      <c r="A98" s="13"/>
      <c r="B98" s="14"/>
      <c r="C98" s="14"/>
      <c r="D98" s="14"/>
      <c r="E98" s="14"/>
      <c r="F98" s="15"/>
      <c r="G98" s="14"/>
    </row>
    <row r="99" ht="15.75" customHeight="1">
      <c r="A99" s="13"/>
      <c r="B99" s="14"/>
      <c r="C99" s="14"/>
      <c r="D99" s="14"/>
      <c r="E99" s="14"/>
      <c r="F99" s="15"/>
      <c r="G99" s="14"/>
    </row>
    <row r="100" ht="15.75" customHeight="1">
      <c r="A100" s="13"/>
      <c r="B100" s="14"/>
      <c r="C100" s="14"/>
      <c r="D100" s="14"/>
      <c r="E100" s="14"/>
      <c r="F100" s="15"/>
      <c r="G100" s="14"/>
    </row>
    <row r="101" ht="15.75" customHeight="1">
      <c r="A101" s="13"/>
      <c r="B101" s="14"/>
      <c r="C101" s="14"/>
      <c r="D101" s="14"/>
      <c r="E101" s="14"/>
      <c r="F101" s="15"/>
      <c r="G101" s="14"/>
    </row>
    <row r="102" ht="15.75" customHeight="1">
      <c r="A102" s="13"/>
      <c r="B102" s="14"/>
      <c r="C102" s="14"/>
      <c r="D102" s="14"/>
      <c r="E102" s="14"/>
      <c r="F102" s="15"/>
      <c r="G102" s="14"/>
    </row>
    <row r="103" ht="15.75" customHeight="1">
      <c r="A103" s="13"/>
      <c r="B103" s="14"/>
      <c r="C103" s="14"/>
      <c r="D103" s="14"/>
      <c r="E103" s="14"/>
      <c r="F103" s="15"/>
      <c r="G103" s="14"/>
    </row>
    <row r="104" ht="15.75" customHeight="1">
      <c r="A104" s="13"/>
      <c r="B104" s="14"/>
      <c r="C104" s="14"/>
      <c r="D104" s="14"/>
      <c r="E104" s="14"/>
      <c r="F104" s="15"/>
      <c r="G104" s="14"/>
    </row>
    <row r="105" ht="15.75" customHeight="1">
      <c r="A105" s="13"/>
      <c r="B105" s="14"/>
      <c r="C105" s="14"/>
      <c r="D105" s="14"/>
      <c r="E105" s="14"/>
      <c r="F105" s="15"/>
      <c r="G105" s="14"/>
    </row>
    <row r="106" ht="15.75" customHeight="1">
      <c r="A106" s="13"/>
      <c r="B106" s="14"/>
      <c r="C106" s="14"/>
      <c r="D106" s="14"/>
      <c r="E106" s="14"/>
      <c r="F106" s="15"/>
      <c r="G106" s="14"/>
    </row>
    <row r="107" ht="15.75" customHeight="1">
      <c r="A107" s="13"/>
      <c r="B107" s="14"/>
      <c r="C107" s="14"/>
      <c r="D107" s="14"/>
      <c r="E107" s="14"/>
      <c r="F107" s="15"/>
      <c r="G107" s="14"/>
    </row>
    <row r="108" ht="15.75" customHeight="1">
      <c r="A108" s="13"/>
      <c r="B108" s="14"/>
      <c r="C108" s="14"/>
      <c r="D108" s="14"/>
      <c r="E108" s="14"/>
      <c r="F108" s="15"/>
      <c r="G108" s="14"/>
    </row>
    <row r="109" ht="15.75" customHeight="1">
      <c r="A109" s="13"/>
      <c r="B109" s="14"/>
      <c r="C109" s="14"/>
      <c r="D109" s="14"/>
      <c r="E109" s="14"/>
      <c r="F109" s="15"/>
      <c r="G109" s="14"/>
    </row>
    <row r="110" ht="15.75" customHeight="1">
      <c r="A110" s="13"/>
      <c r="B110" s="14"/>
      <c r="C110" s="14"/>
      <c r="D110" s="14"/>
      <c r="E110" s="14"/>
      <c r="F110" s="15"/>
      <c r="G110" s="14"/>
    </row>
    <row r="111" ht="15.75" customHeight="1">
      <c r="A111" s="13"/>
      <c r="B111" s="14"/>
      <c r="C111" s="14"/>
      <c r="D111" s="14"/>
      <c r="E111" s="14"/>
      <c r="F111" s="15"/>
      <c r="G111" s="14"/>
    </row>
    <row r="112" ht="15.75" customHeight="1">
      <c r="A112" s="13"/>
      <c r="B112" s="14"/>
      <c r="C112" s="14"/>
      <c r="D112" s="14"/>
      <c r="E112" s="14"/>
      <c r="F112" s="15"/>
      <c r="G112" s="14"/>
    </row>
    <row r="113" ht="15.75" customHeight="1">
      <c r="A113" s="13"/>
      <c r="B113" s="14"/>
      <c r="C113" s="14"/>
      <c r="D113" s="14"/>
      <c r="E113" s="14"/>
      <c r="F113" s="15"/>
      <c r="G113" s="14"/>
    </row>
    <row r="114" ht="15.75" customHeight="1">
      <c r="A114" s="13"/>
      <c r="B114" s="14"/>
      <c r="C114" s="14"/>
      <c r="D114" s="14"/>
      <c r="E114" s="14"/>
      <c r="F114" s="15"/>
      <c r="G114" s="14"/>
    </row>
    <row r="115" ht="15.75" customHeight="1">
      <c r="A115" s="13"/>
      <c r="B115" s="14"/>
      <c r="C115" s="14"/>
      <c r="D115" s="14"/>
      <c r="E115" s="14"/>
      <c r="F115" s="15"/>
      <c r="G115" s="14"/>
    </row>
    <row r="116" ht="15.75" customHeight="1">
      <c r="A116" s="13"/>
      <c r="B116" s="14"/>
      <c r="C116" s="14"/>
      <c r="D116" s="14"/>
      <c r="E116" s="14"/>
      <c r="F116" s="15"/>
      <c r="G116" s="14"/>
    </row>
    <row r="117" ht="15.75" customHeight="1">
      <c r="A117" s="13"/>
      <c r="B117" s="14"/>
      <c r="C117" s="14"/>
      <c r="D117" s="14"/>
      <c r="E117" s="14"/>
      <c r="F117" s="15"/>
      <c r="G117" s="14"/>
    </row>
    <row r="118" ht="15.75" customHeight="1">
      <c r="A118" s="13"/>
      <c r="B118" s="14"/>
      <c r="C118" s="14"/>
      <c r="D118" s="14"/>
      <c r="E118" s="14"/>
      <c r="F118" s="15"/>
      <c r="G118" s="14"/>
    </row>
    <row r="119" ht="15.75" customHeight="1">
      <c r="A119" s="13"/>
      <c r="B119" s="14"/>
      <c r="C119" s="14"/>
      <c r="D119" s="14"/>
      <c r="E119" s="14"/>
      <c r="F119" s="15"/>
      <c r="G119" s="14"/>
    </row>
    <row r="120" ht="15.75" customHeight="1">
      <c r="A120" s="13"/>
      <c r="B120" s="14"/>
      <c r="C120" s="14"/>
      <c r="D120" s="14"/>
      <c r="E120" s="14"/>
      <c r="F120" s="15"/>
      <c r="G120" s="14"/>
    </row>
    <row r="121" ht="15.75" customHeight="1">
      <c r="A121" s="13"/>
      <c r="B121" s="14"/>
      <c r="C121" s="14"/>
      <c r="D121" s="14"/>
      <c r="E121" s="14"/>
      <c r="F121" s="15"/>
      <c r="G121" s="14"/>
    </row>
    <row r="122" ht="15.75" customHeight="1">
      <c r="A122" s="13"/>
      <c r="B122" s="14"/>
      <c r="C122" s="14"/>
      <c r="D122" s="14"/>
      <c r="E122" s="14"/>
      <c r="F122" s="15"/>
      <c r="G122" s="14"/>
    </row>
    <row r="123" ht="15.75" customHeight="1">
      <c r="A123" s="13"/>
      <c r="B123" s="14"/>
      <c r="C123" s="14"/>
      <c r="D123" s="14"/>
      <c r="E123" s="14"/>
      <c r="F123" s="15"/>
      <c r="G123" s="14"/>
    </row>
    <row r="124" ht="15.75" customHeight="1">
      <c r="A124" s="13"/>
      <c r="B124" s="14"/>
      <c r="C124" s="14"/>
      <c r="D124" s="14"/>
      <c r="E124" s="14"/>
      <c r="F124" s="15"/>
      <c r="G124" s="14"/>
    </row>
    <row r="125" ht="15.75" customHeight="1">
      <c r="A125" s="13"/>
      <c r="B125" s="14"/>
      <c r="C125" s="14"/>
      <c r="D125" s="14"/>
      <c r="E125" s="14"/>
      <c r="F125" s="15"/>
      <c r="G125" s="14"/>
    </row>
    <row r="126" ht="15.75" customHeight="1">
      <c r="A126" s="13"/>
      <c r="B126" s="14"/>
      <c r="C126" s="14"/>
      <c r="D126" s="14"/>
      <c r="E126" s="14"/>
      <c r="F126" s="15"/>
      <c r="G126" s="14"/>
    </row>
    <row r="127" ht="15.75" customHeight="1">
      <c r="A127" s="13"/>
      <c r="B127" s="14"/>
      <c r="C127" s="14"/>
      <c r="D127" s="14"/>
      <c r="E127" s="14"/>
      <c r="F127" s="15"/>
      <c r="G127" s="14"/>
    </row>
    <row r="128" ht="15.75" customHeight="1">
      <c r="A128" s="13"/>
      <c r="B128" s="14"/>
      <c r="C128" s="14"/>
      <c r="D128" s="14"/>
      <c r="E128" s="14"/>
      <c r="F128" s="15"/>
      <c r="G128" s="14"/>
    </row>
    <row r="129" ht="15.75" customHeight="1">
      <c r="A129" s="13"/>
      <c r="B129" s="14"/>
      <c r="C129" s="14"/>
      <c r="D129" s="14"/>
      <c r="E129" s="14"/>
      <c r="F129" s="15"/>
      <c r="G129" s="14"/>
    </row>
    <row r="130" ht="15.75" customHeight="1">
      <c r="A130" s="13"/>
      <c r="B130" s="14"/>
      <c r="C130" s="14"/>
      <c r="D130" s="14"/>
      <c r="E130" s="14"/>
      <c r="F130" s="15"/>
      <c r="G130" s="14"/>
    </row>
    <row r="131" ht="15.75" customHeight="1">
      <c r="A131" s="13"/>
      <c r="B131" s="14"/>
      <c r="C131" s="14"/>
      <c r="D131" s="14"/>
      <c r="E131" s="14"/>
      <c r="F131" s="15"/>
      <c r="G131" s="14"/>
    </row>
    <row r="132" ht="15.75" customHeight="1">
      <c r="A132" s="13"/>
      <c r="B132" s="14"/>
      <c r="C132" s="14"/>
      <c r="D132" s="14"/>
      <c r="E132" s="14"/>
      <c r="F132" s="15"/>
      <c r="G132" s="14"/>
    </row>
    <row r="133" ht="15.75" customHeight="1">
      <c r="A133" s="13"/>
      <c r="B133" s="14"/>
      <c r="C133" s="14"/>
      <c r="D133" s="14"/>
      <c r="E133" s="14"/>
      <c r="F133" s="15"/>
      <c r="G133" s="14"/>
    </row>
    <row r="134" ht="15.75" customHeight="1">
      <c r="A134" s="13"/>
      <c r="B134" s="14"/>
      <c r="C134" s="14"/>
      <c r="D134" s="14"/>
      <c r="E134" s="14"/>
      <c r="F134" s="15"/>
      <c r="G134" s="14"/>
    </row>
    <row r="135" ht="15.75" customHeight="1">
      <c r="A135" s="13"/>
      <c r="B135" s="14"/>
      <c r="C135" s="14"/>
      <c r="D135" s="14"/>
      <c r="E135" s="14"/>
      <c r="F135" s="15"/>
      <c r="G135" s="14"/>
    </row>
    <row r="136" ht="15.75" customHeight="1">
      <c r="A136" s="13"/>
      <c r="B136" s="14"/>
      <c r="C136" s="14"/>
      <c r="D136" s="14"/>
      <c r="E136" s="14"/>
      <c r="F136" s="15"/>
      <c r="G136" s="14"/>
    </row>
    <row r="137" ht="15.75" customHeight="1">
      <c r="A137" s="13"/>
      <c r="B137" s="14"/>
      <c r="C137" s="14"/>
      <c r="D137" s="14"/>
      <c r="E137" s="14"/>
      <c r="F137" s="15"/>
      <c r="G137" s="14"/>
    </row>
    <row r="138" ht="15.75" customHeight="1">
      <c r="A138" s="13"/>
      <c r="B138" s="14"/>
      <c r="C138" s="14"/>
      <c r="D138" s="14"/>
      <c r="E138" s="14"/>
      <c r="F138" s="15"/>
      <c r="G138" s="14"/>
    </row>
    <row r="139" ht="15.75" customHeight="1">
      <c r="A139" s="13"/>
      <c r="B139" s="14"/>
      <c r="C139" s="14"/>
      <c r="D139" s="14"/>
      <c r="E139" s="14"/>
      <c r="F139" s="15"/>
      <c r="G139" s="14"/>
    </row>
    <row r="140" ht="15.75" customHeight="1">
      <c r="A140" s="13"/>
      <c r="B140" s="14"/>
      <c r="C140" s="14"/>
      <c r="D140" s="14"/>
      <c r="E140" s="14"/>
      <c r="F140" s="15"/>
      <c r="G140" s="14"/>
    </row>
    <row r="141" ht="15.75" customHeight="1">
      <c r="A141" s="13"/>
      <c r="B141" s="14"/>
      <c r="C141" s="14"/>
      <c r="D141" s="14"/>
      <c r="E141" s="14"/>
      <c r="F141" s="15"/>
      <c r="G141" s="14"/>
    </row>
    <row r="142" ht="15.75" customHeight="1">
      <c r="A142" s="13"/>
      <c r="B142" s="14"/>
      <c r="C142" s="14"/>
      <c r="D142" s="14"/>
      <c r="E142" s="14"/>
      <c r="F142" s="15"/>
      <c r="G142" s="14"/>
    </row>
    <row r="143" ht="15.75" customHeight="1">
      <c r="A143" s="13"/>
      <c r="B143" s="14"/>
      <c r="C143" s="14"/>
      <c r="D143" s="14"/>
      <c r="E143" s="14"/>
      <c r="F143" s="15"/>
      <c r="G143" s="14"/>
    </row>
    <row r="144" ht="15.75" customHeight="1">
      <c r="A144" s="13"/>
      <c r="B144" s="14"/>
      <c r="C144" s="14"/>
      <c r="D144" s="14"/>
      <c r="E144" s="14"/>
      <c r="F144" s="15"/>
      <c r="G144" s="14"/>
    </row>
    <row r="145" ht="15.75" customHeight="1">
      <c r="A145" s="13"/>
      <c r="B145" s="14"/>
      <c r="C145" s="14"/>
      <c r="D145" s="14"/>
      <c r="E145" s="14"/>
      <c r="F145" s="15"/>
      <c r="G145" s="14"/>
    </row>
    <row r="146" ht="15.75" customHeight="1">
      <c r="A146" s="13"/>
      <c r="B146" s="14"/>
      <c r="C146" s="14"/>
      <c r="D146" s="14"/>
      <c r="E146" s="14"/>
      <c r="F146" s="15"/>
      <c r="G146" s="14"/>
    </row>
    <row r="147" ht="15.75" customHeight="1">
      <c r="A147" s="13"/>
      <c r="B147" s="14"/>
      <c r="C147" s="14"/>
      <c r="D147" s="14"/>
      <c r="E147" s="14"/>
      <c r="F147" s="15"/>
      <c r="G147" s="14"/>
    </row>
    <row r="148" ht="15.75" customHeight="1">
      <c r="A148" s="13"/>
      <c r="B148" s="14"/>
      <c r="C148" s="14"/>
      <c r="D148" s="14"/>
      <c r="E148" s="14"/>
      <c r="F148" s="15"/>
      <c r="G148" s="14"/>
    </row>
    <row r="149" ht="15.75" customHeight="1">
      <c r="A149" s="13"/>
      <c r="B149" s="14"/>
      <c r="C149" s="14"/>
      <c r="D149" s="14"/>
      <c r="E149" s="14"/>
      <c r="F149" s="15"/>
      <c r="G149" s="14"/>
    </row>
    <row r="150" ht="15.75" customHeight="1">
      <c r="A150" s="13"/>
      <c r="B150" s="14"/>
      <c r="C150" s="14"/>
      <c r="D150" s="14"/>
      <c r="E150" s="14"/>
      <c r="F150" s="15"/>
      <c r="G150" s="14"/>
    </row>
    <row r="151" ht="15.75" customHeight="1">
      <c r="A151" s="13"/>
      <c r="B151" s="14"/>
      <c r="C151" s="14"/>
      <c r="D151" s="14"/>
      <c r="E151" s="14"/>
      <c r="F151" s="15"/>
      <c r="G151" s="14"/>
    </row>
    <row r="152" ht="15.75" customHeight="1">
      <c r="A152" s="13"/>
      <c r="B152" s="14"/>
      <c r="C152" s="14"/>
      <c r="D152" s="14"/>
      <c r="E152" s="14"/>
      <c r="F152" s="15"/>
      <c r="G152" s="14"/>
    </row>
    <row r="153" ht="15.75" customHeight="1">
      <c r="A153" s="13"/>
      <c r="B153" s="14"/>
      <c r="C153" s="14"/>
      <c r="D153" s="14"/>
      <c r="E153" s="14"/>
      <c r="F153" s="15"/>
      <c r="G153" s="14"/>
    </row>
    <row r="154" ht="15.75" customHeight="1">
      <c r="A154" s="13"/>
      <c r="B154" s="14"/>
      <c r="C154" s="14"/>
      <c r="D154" s="14"/>
      <c r="E154" s="14"/>
      <c r="F154" s="15"/>
      <c r="G154" s="14"/>
    </row>
    <row r="155" ht="15.75" customHeight="1">
      <c r="A155" s="13"/>
      <c r="B155" s="14"/>
      <c r="C155" s="14"/>
      <c r="D155" s="14"/>
      <c r="E155" s="14"/>
      <c r="F155" s="15"/>
      <c r="G155" s="14"/>
    </row>
    <row r="156" ht="15.75" customHeight="1">
      <c r="A156" s="13"/>
      <c r="B156" s="14"/>
      <c r="C156" s="14"/>
      <c r="D156" s="14"/>
      <c r="E156" s="14"/>
      <c r="F156" s="15"/>
      <c r="G156" s="14"/>
    </row>
    <row r="157" ht="15.75" customHeight="1">
      <c r="A157" s="13"/>
      <c r="B157" s="14"/>
      <c r="C157" s="14"/>
      <c r="D157" s="14"/>
      <c r="E157" s="14"/>
      <c r="F157" s="15"/>
      <c r="G157" s="14"/>
    </row>
    <row r="158" ht="15.75" customHeight="1">
      <c r="A158" s="13"/>
      <c r="B158" s="14"/>
      <c r="C158" s="14"/>
      <c r="D158" s="14"/>
      <c r="E158" s="14"/>
      <c r="F158" s="15"/>
      <c r="G158" s="14"/>
    </row>
    <row r="159" ht="15.75" customHeight="1">
      <c r="A159" s="13"/>
      <c r="B159" s="14"/>
      <c r="C159" s="14"/>
      <c r="D159" s="14"/>
      <c r="E159" s="14"/>
      <c r="F159" s="15"/>
      <c r="G159" s="14"/>
    </row>
    <row r="160" ht="15.75" customHeight="1">
      <c r="A160" s="13"/>
      <c r="B160" s="14"/>
      <c r="C160" s="14"/>
      <c r="D160" s="14"/>
      <c r="E160" s="14"/>
      <c r="F160" s="15"/>
      <c r="G160" s="14"/>
    </row>
    <row r="161" ht="15.75" customHeight="1">
      <c r="A161" s="13"/>
      <c r="B161" s="14"/>
      <c r="C161" s="14"/>
      <c r="D161" s="14"/>
      <c r="E161" s="14"/>
      <c r="F161" s="15"/>
      <c r="G161" s="14"/>
    </row>
    <row r="162" ht="15.75" customHeight="1">
      <c r="A162" s="13"/>
      <c r="B162" s="14"/>
      <c r="C162" s="14"/>
      <c r="D162" s="14"/>
      <c r="E162" s="14"/>
      <c r="F162" s="15"/>
      <c r="G162" s="14"/>
    </row>
    <row r="163" ht="15.75" customHeight="1">
      <c r="A163" s="13"/>
      <c r="B163" s="14"/>
      <c r="C163" s="14"/>
      <c r="D163" s="14"/>
      <c r="E163" s="14"/>
      <c r="F163" s="15"/>
      <c r="G163" s="14"/>
    </row>
    <row r="164" ht="15.75" customHeight="1">
      <c r="A164" s="13"/>
      <c r="B164" s="14"/>
      <c r="C164" s="14"/>
      <c r="D164" s="14"/>
      <c r="E164" s="14"/>
      <c r="F164" s="15"/>
      <c r="G164" s="14"/>
    </row>
    <row r="165" ht="15.75" customHeight="1">
      <c r="A165" s="13"/>
      <c r="B165" s="14"/>
      <c r="C165" s="14"/>
      <c r="D165" s="14"/>
      <c r="E165" s="14"/>
      <c r="F165" s="15"/>
      <c r="G165" s="14"/>
    </row>
    <row r="166" ht="15.75" customHeight="1">
      <c r="A166" s="13"/>
      <c r="B166" s="14"/>
    </row>
    <row r="167" ht="15.75" customHeight="1">
      <c r="A167" s="13"/>
      <c r="B167" s="14"/>
      <c r="C167" s="14"/>
      <c r="D167" s="14"/>
      <c r="E167" s="14"/>
      <c r="F167" s="15"/>
      <c r="G167" s="14"/>
    </row>
    <row r="168" ht="15.75" customHeight="1">
      <c r="A168" s="13"/>
      <c r="B168" s="14"/>
      <c r="C168" s="14"/>
      <c r="D168" s="14"/>
      <c r="E168" s="14"/>
      <c r="F168" s="15"/>
      <c r="G168" s="14"/>
    </row>
    <row r="169" ht="15.75" customHeight="1">
      <c r="A169" s="13"/>
      <c r="B169" s="14"/>
      <c r="C169" s="14"/>
      <c r="D169" s="14"/>
      <c r="E169" s="14"/>
      <c r="F169" s="15"/>
      <c r="G169" s="14"/>
    </row>
    <row r="170" ht="15.75" customHeight="1">
      <c r="A170" s="13"/>
      <c r="B170" s="14"/>
      <c r="C170" s="14"/>
      <c r="D170" s="14"/>
      <c r="E170" s="14"/>
      <c r="F170" s="15"/>
      <c r="G170" s="14"/>
    </row>
    <row r="171" ht="15.75" customHeight="1">
      <c r="A171" s="13"/>
      <c r="B171" s="14"/>
      <c r="C171" s="14"/>
      <c r="D171" s="14"/>
      <c r="E171" s="14"/>
      <c r="F171" s="15"/>
      <c r="G171" s="14"/>
    </row>
    <row r="172" ht="15.75" customHeight="1">
      <c r="A172" s="13"/>
      <c r="B172" s="14"/>
      <c r="C172" s="14"/>
      <c r="D172" s="14"/>
      <c r="E172" s="14"/>
      <c r="F172" s="15"/>
      <c r="G172" s="14"/>
    </row>
    <row r="173" ht="15.75" customHeight="1">
      <c r="A173" s="13"/>
      <c r="B173" s="14"/>
      <c r="C173" s="14"/>
      <c r="D173" s="14"/>
      <c r="E173" s="14"/>
      <c r="F173" s="15"/>
      <c r="G173" s="14"/>
    </row>
    <row r="174" ht="15.75" customHeight="1">
      <c r="A174" s="13"/>
      <c r="B174" s="14"/>
      <c r="C174" s="14"/>
      <c r="D174" s="14"/>
      <c r="E174" s="14"/>
      <c r="F174" s="15"/>
      <c r="G174" s="14"/>
    </row>
    <row r="175" ht="15.75" customHeight="1">
      <c r="A175" s="13"/>
      <c r="B175" s="14"/>
      <c r="C175" s="14"/>
      <c r="D175" s="14"/>
      <c r="E175" s="14"/>
      <c r="F175" s="15"/>
      <c r="G175" s="14"/>
    </row>
    <row r="176" ht="15.75" customHeight="1">
      <c r="A176" s="13"/>
      <c r="B176" s="14"/>
      <c r="C176" s="14"/>
      <c r="D176" s="14"/>
      <c r="E176" s="14"/>
      <c r="F176" s="15"/>
      <c r="G176" s="14"/>
    </row>
    <row r="177" ht="15.75" customHeight="1">
      <c r="A177" s="13"/>
      <c r="B177" s="14"/>
      <c r="C177" s="14"/>
      <c r="D177" s="14"/>
      <c r="E177" s="14"/>
      <c r="F177" s="15"/>
      <c r="G177" s="14"/>
    </row>
    <row r="178" ht="15.75" customHeight="1">
      <c r="A178" s="13"/>
      <c r="B178" s="14"/>
      <c r="C178" s="14"/>
      <c r="D178" s="14"/>
      <c r="E178" s="14"/>
      <c r="F178" s="15"/>
      <c r="G178" s="14"/>
    </row>
    <row r="179" ht="15.75" customHeight="1">
      <c r="A179" s="13"/>
      <c r="B179" s="14"/>
      <c r="C179" s="14"/>
      <c r="D179" s="14"/>
      <c r="E179" s="14"/>
      <c r="F179" s="15"/>
      <c r="G179" s="14"/>
    </row>
    <row r="180" ht="15.75" customHeight="1">
      <c r="A180" s="13"/>
      <c r="B180" s="14"/>
      <c r="C180" s="14"/>
      <c r="D180" s="14"/>
      <c r="E180" s="14"/>
      <c r="F180" s="15"/>
      <c r="G180" s="14"/>
    </row>
    <row r="181" ht="15.75" customHeight="1">
      <c r="A181" s="13"/>
      <c r="B181" s="14"/>
      <c r="C181" s="14"/>
      <c r="D181" s="14"/>
      <c r="E181" s="14"/>
      <c r="F181" s="15"/>
      <c r="G181" s="14"/>
    </row>
    <row r="182" ht="15.75" customHeight="1">
      <c r="A182" s="13"/>
      <c r="B182" s="14"/>
      <c r="C182" s="14"/>
      <c r="D182" s="14"/>
      <c r="E182" s="14"/>
      <c r="F182" s="15"/>
      <c r="G182" s="14"/>
    </row>
    <row r="183" ht="15.75" customHeight="1">
      <c r="A183" s="13"/>
      <c r="B183" s="14"/>
      <c r="C183" s="14"/>
      <c r="D183" s="14"/>
      <c r="E183" s="14"/>
      <c r="F183" s="15"/>
      <c r="G183" s="14"/>
    </row>
    <row r="184" ht="15.75" customHeight="1">
      <c r="A184" s="13"/>
      <c r="B184" s="14"/>
      <c r="C184" s="14"/>
      <c r="D184" s="14"/>
      <c r="E184" s="14"/>
      <c r="F184" s="15"/>
      <c r="G184" s="14"/>
    </row>
    <row r="185" ht="15.75" customHeight="1">
      <c r="A185" s="13"/>
      <c r="B185" s="14"/>
      <c r="C185" s="14"/>
      <c r="D185" s="14"/>
      <c r="E185" s="14"/>
      <c r="F185" s="15"/>
      <c r="G185" s="14"/>
    </row>
    <row r="186" ht="15.75" customHeight="1">
      <c r="A186" s="13"/>
      <c r="B186" s="14"/>
      <c r="C186" s="14"/>
      <c r="D186" s="14"/>
      <c r="E186" s="14"/>
      <c r="F186" s="15"/>
      <c r="G186" s="14"/>
    </row>
    <row r="187" ht="15.75" customHeight="1">
      <c r="A187" s="13"/>
      <c r="B187" s="14"/>
      <c r="C187" s="14"/>
      <c r="D187" s="14"/>
      <c r="E187" s="14"/>
      <c r="F187" s="15"/>
      <c r="G187" s="14"/>
    </row>
    <row r="188" ht="15.75" customHeight="1">
      <c r="A188" s="13"/>
      <c r="B188" s="14"/>
      <c r="C188" s="14"/>
      <c r="D188" s="14"/>
      <c r="E188" s="14"/>
      <c r="F188" s="15"/>
      <c r="G188" s="14"/>
    </row>
    <row r="189" ht="15.75" customHeight="1">
      <c r="A189" s="13"/>
      <c r="B189" s="14"/>
      <c r="C189" s="14"/>
      <c r="D189" s="14"/>
      <c r="E189" s="14"/>
      <c r="F189" s="15"/>
      <c r="G189" s="14"/>
    </row>
    <row r="190" ht="15.75" customHeight="1">
      <c r="A190" s="13"/>
      <c r="B190" s="14"/>
      <c r="C190" s="14"/>
      <c r="D190" s="14"/>
      <c r="E190" s="14"/>
      <c r="F190" s="15"/>
      <c r="G190" s="14"/>
    </row>
    <row r="191" ht="15.75" customHeight="1">
      <c r="A191" s="13"/>
      <c r="B191" s="14"/>
      <c r="C191" s="14"/>
      <c r="D191" s="14"/>
      <c r="E191" s="14"/>
      <c r="F191" s="15"/>
      <c r="G191" s="14"/>
    </row>
    <row r="192" ht="15.75" customHeight="1">
      <c r="A192" s="13"/>
      <c r="B192" s="14"/>
      <c r="C192" s="14"/>
      <c r="D192" s="14"/>
      <c r="E192" s="14"/>
      <c r="F192" s="15"/>
      <c r="G192" s="14"/>
    </row>
    <row r="193" ht="15.75" customHeight="1">
      <c r="A193" s="13"/>
      <c r="B193" s="14"/>
      <c r="C193" s="14"/>
      <c r="D193" s="14"/>
      <c r="E193" s="14"/>
      <c r="F193" s="15"/>
      <c r="G193" s="14"/>
    </row>
    <row r="194" ht="15.75" customHeight="1">
      <c r="A194" s="13"/>
      <c r="B194" s="14"/>
      <c r="C194" s="14"/>
      <c r="D194" s="14"/>
      <c r="E194" s="14"/>
      <c r="F194" s="15"/>
      <c r="G194" s="14"/>
    </row>
    <row r="195" ht="15.75" customHeight="1">
      <c r="A195" s="13"/>
      <c r="B195" s="14"/>
      <c r="C195" s="14"/>
      <c r="D195" s="14"/>
      <c r="E195" s="14"/>
      <c r="F195" s="15"/>
      <c r="G195" s="14"/>
    </row>
    <row r="196" ht="15.75" customHeight="1">
      <c r="A196" s="13"/>
      <c r="B196" s="14"/>
      <c r="C196" s="14"/>
      <c r="D196" s="14"/>
      <c r="E196" s="14"/>
      <c r="F196" s="15"/>
      <c r="G196" s="14"/>
    </row>
    <row r="197" ht="15.75" customHeight="1">
      <c r="A197" s="13"/>
      <c r="B197" s="14"/>
      <c r="C197" s="14"/>
      <c r="D197" s="14"/>
      <c r="E197" s="14"/>
      <c r="F197" s="15"/>
      <c r="G197" s="14"/>
    </row>
    <row r="198" ht="15.75" customHeight="1">
      <c r="A198" s="13"/>
      <c r="B198" s="14"/>
      <c r="C198" s="14"/>
      <c r="D198" s="14"/>
      <c r="E198" s="14"/>
      <c r="F198" s="15"/>
      <c r="G198" s="14"/>
    </row>
    <row r="199" ht="15.75" customHeight="1">
      <c r="A199" s="13"/>
      <c r="B199" s="14"/>
      <c r="C199" s="14"/>
      <c r="D199" s="14"/>
      <c r="E199" s="14"/>
      <c r="F199" s="15"/>
      <c r="G199" s="14"/>
    </row>
    <row r="200" ht="15.75" customHeight="1">
      <c r="A200" s="13"/>
      <c r="B200" s="14"/>
      <c r="C200" s="14"/>
      <c r="D200" s="14"/>
      <c r="E200" s="14"/>
      <c r="F200" s="15"/>
      <c r="G200" s="14"/>
    </row>
    <row r="201" ht="15.75" customHeight="1">
      <c r="A201" s="13"/>
      <c r="B201" s="14"/>
      <c r="C201" s="14"/>
      <c r="D201" s="14"/>
      <c r="E201" s="14"/>
      <c r="F201" s="15"/>
      <c r="G201" s="14"/>
    </row>
    <row r="202" ht="15.75" customHeight="1">
      <c r="A202" s="13"/>
      <c r="B202" s="14"/>
      <c r="C202" s="14"/>
      <c r="D202" s="14"/>
      <c r="E202" s="14"/>
      <c r="F202" s="15"/>
      <c r="G202" s="14"/>
    </row>
    <row r="203" ht="15.75" customHeight="1">
      <c r="A203" s="13"/>
      <c r="B203" s="14"/>
      <c r="C203" s="14"/>
      <c r="D203" s="14"/>
      <c r="E203" s="14"/>
      <c r="F203" s="15"/>
      <c r="G203" s="14"/>
    </row>
    <row r="204" ht="15.75" customHeight="1">
      <c r="A204" s="13"/>
      <c r="B204" s="14"/>
      <c r="C204" s="14"/>
      <c r="D204" s="14"/>
      <c r="E204" s="14"/>
      <c r="F204" s="15"/>
      <c r="G204" s="14"/>
    </row>
    <row r="205" ht="15.75" customHeight="1">
      <c r="A205" s="13"/>
      <c r="B205" s="14"/>
      <c r="C205" s="14"/>
      <c r="D205" s="14"/>
      <c r="E205" s="14"/>
      <c r="F205" s="15"/>
      <c r="G205" s="14"/>
    </row>
    <row r="206" ht="15.75" customHeight="1">
      <c r="A206" s="13"/>
      <c r="B206" s="14"/>
      <c r="C206" s="14"/>
      <c r="D206" s="14"/>
      <c r="E206" s="14"/>
      <c r="F206" s="15"/>
      <c r="G206" s="14"/>
    </row>
    <row r="207" ht="15.75" customHeight="1">
      <c r="A207" s="13"/>
      <c r="B207" s="14"/>
      <c r="C207" s="14"/>
      <c r="D207" s="14"/>
      <c r="E207" s="14"/>
      <c r="F207" s="15"/>
      <c r="G207" s="14"/>
    </row>
    <row r="208" ht="15.75" customHeight="1">
      <c r="A208" s="13"/>
      <c r="B208" s="14"/>
      <c r="C208" s="14"/>
      <c r="D208" s="14"/>
      <c r="E208" s="14"/>
      <c r="F208" s="15"/>
      <c r="G208" s="14"/>
    </row>
    <row r="209" ht="15.75" customHeight="1">
      <c r="A209" s="13"/>
      <c r="B209" s="14"/>
      <c r="C209" s="14"/>
      <c r="D209" s="14"/>
      <c r="E209" s="14"/>
      <c r="F209" s="15"/>
      <c r="G209" s="14"/>
    </row>
    <row r="210" ht="15.75" customHeight="1">
      <c r="A210" s="13"/>
      <c r="B210" s="14"/>
      <c r="C210" s="14"/>
      <c r="D210" s="14"/>
      <c r="E210" s="14"/>
      <c r="F210" s="15"/>
      <c r="G210" s="14"/>
    </row>
    <row r="211" ht="15.75" customHeight="1">
      <c r="A211" s="13"/>
      <c r="B211" s="14"/>
      <c r="C211" s="14"/>
      <c r="D211" s="14"/>
      <c r="E211" s="14"/>
      <c r="F211" s="15"/>
      <c r="G211" s="14"/>
    </row>
    <row r="212" ht="15.75" customHeight="1">
      <c r="A212" s="13"/>
      <c r="B212" s="14"/>
      <c r="C212" s="14"/>
      <c r="D212" s="14"/>
      <c r="E212" s="14"/>
      <c r="F212" s="15"/>
      <c r="G212" s="14"/>
    </row>
    <row r="213" ht="15.75" customHeight="1">
      <c r="A213" s="13"/>
      <c r="B213" s="14"/>
      <c r="C213" s="14"/>
      <c r="D213" s="14"/>
      <c r="E213" s="14"/>
      <c r="F213" s="15"/>
      <c r="G213" s="14"/>
    </row>
    <row r="214" ht="15.75" customHeight="1">
      <c r="A214" s="13"/>
      <c r="B214" s="14"/>
      <c r="C214" s="14"/>
      <c r="D214" s="14"/>
      <c r="E214" s="14"/>
      <c r="F214" s="15"/>
      <c r="G214" s="14"/>
    </row>
    <row r="215" ht="15.75" customHeight="1">
      <c r="A215" s="13"/>
      <c r="B215" s="14"/>
      <c r="C215" s="14"/>
      <c r="D215" s="14"/>
      <c r="E215" s="14"/>
      <c r="F215" s="15"/>
      <c r="G215" s="14"/>
    </row>
    <row r="216" ht="15.75" customHeight="1">
      <c r="A216" s="13"/>
      <c r="B216" s="14"/>
      <c r="C216" s="14"/>
      <c r="D216" s="14"/>
      <c r="E216" s="14"/>
      <c r="F216" s="15"/>
      <c r="G216" s="14"/>
    </row>
    <row r="217" ht="15.75" customHeight="1">
      <c r="A217" s="13"/>
      <c r="B217" s="14"/>
      <c r="C217" s="14"/>
      <c r="D217" s="14"/>
      <c r="E217" s="14"/>
      <c r="F217" s="15"/>
      <c r="G217" s="14"/>
    </row>
    <row r="218" ht="15.75" customHeight="1">
      <c r="A218" s="13"/>
      <c r="B218" s="14"/>
      <c r="C218" s="14"/>
      <c r="D218" s="14"/>
      <c r="E218" s="14"/>
      <c r="F218" s="15"/>
      <c r="G218" s="14"/>
    </row>
    <row r="219" ht="15.75" customHeight="1">
      <c r="A219" s="13"/>
      <c r="B219" s="14"/>
      <c r="C219" s="14"/>
      <c r="D219" s="14"/>
      <c r="E219" s="14"/>
      <c r="F219" s="15"/>
      <c r="G219" s="14"/>
    </row>
    <row r="220" ht="15.75" customHeight="1">
      <c r="A220" s="13"/>
      <c r="B220" s="14"/>
      <c r="C220" s="14"/>
      <c r="D220" s="14"/>
      <c r="E220" s="14"/>
      <c r="F220" s="15"/>
      <c r="G220" s="14"/>
    </row>
    <row r="221" ht="15.75" customHeight="1">
      <c r="A221" s="13"/>
      <c r="B221" s="14"/>
      <c r="C221" s="14"/>
      <c r="D221" s="14"/>
      <c r="E221" s="14"/>
      <c r="F221" s="15"/>
      <c r="G221" s="14"/>
    </row>
    <row r="222" ht="15.75" customHeight="1">
      <c r="A222" s="13"/>
      <c r="B222" s="14"/>
      <c r="C222" s="14"/>
      <c r="D222" s="14"/>
      <c r="E222" s="14"/>
      <c r="F222" s="15"/>
      <c r="G222" s="14"/>
    </row>
    <row r="223" ht="15.75" customHeight="1">
      <c r="A223" s="13"/>
      <c r="B223" s="14"/>
      <c r="C223" s="14"/>
      <c r="D223" s="14"/>
      <c r="E223" s="14"/>
      <c r="F223" s="15"/>
      <c r="G223" s="14"/>
    </row>
    <row r="224" ht="15.75" customHeight="1">
      <c r="A224" s="13"/>
      <c r="B224" s="14"/>
      <c r="C224" s="14"/>
      <c r="D224" s="14"/>
      <c r="E224" s="14"/>
      <c r="F224" s="15"/>
      <c r="G224" s="14"/>
    </row>
    <row r="225" ht="15.75" customHeight="1">
      <c r="A225" s="13"/>
      <c r="B225" s="14"/>
      <c r="C225" s="14"/>
      <c r="D225" s="14"/>
      <c r="E225" s="14"/>
      <c r="F225" s="15"/>
      <c r="G225" s="14"/>
    </row>
    <row r="226" ht="15.75" customHeight="1">
      <c r="A226" s="13"/>
      <c r="B226" s="14"/>
      <c r="C226" s="14"/>
      <c r="D226" s="14"/>
      <c r="E226" s="14"/>
      <c r="F226" s="15"/>
      <c r="G226" s="14"/>
    </row>
    <row r="227" ht="15.75" customHeight="1">
      <c r="A227" s="13"/>
      <c r="B227" s="14"/>
      <c r="C227" s="14"/>
      <c r="D227" s="14"/>
      <c r="E227" s="14"/>
      <c r="F227" s="15"/>
      <c r="G227" s="14"/>
    </row>
    <row r="228" ht="15.75" customHeight="1">
      <c r="A228" s="13"/>
      <c r="B228" s="14"/>
      <c r="C228" s="14"/>
      <c r="D228" s="14"/>
      <c r="E228" s="14"/>
      <c r="F228" s="15"/>
      <c r="G228" s="14"/>
    </row>
    <row r="229" ht="15.75" customHeight="1">
      <c r="A229" s="13"/>
      <c r="B229" s="14"/>
      <c r="C229" s="14"/>
      <c r="D229" s="14"/>
      <c r="E229" s="14"/>
      <c r="F229" s="15"/>
      <c r="G229" s="14"/>
    </row>
    <row r="230" ht="15.75" customHeight="1">
      <c r="A230" s="13"/>
      <c r="B230" s="14"/>
      <c r="C230" s="14"/>
      <c r="D230" s="14"/>
      <c r="E230" s="14"/>
      <c r="F230" s="15"/>
      <c r="G230" s="14"/>
    </row>
    <row r="231" ht="15.75" customHeight="1">
      <c r="A231" s="13"/>
      <c r="B231" s="14"/>
      <c r="C231" s="14"/>
      <c r="D231" s="14"/>
      <c r="E231" s="14"/>
      <c r="F231" s="15"/>
      <c r="G231" s="14"/>
    </row>
    <row r="232" ht="15.75" customHeight="1">
      <c r="A232" s="13"/>
      <c r="B232" s="14"/>
      <c r="C232" s="14"/>
      <c r="D232" s="14"/>
      <c r="E232" s="14"/>
      <c r="F232" s="15"/>
      <c r="G232" s="14"/>
    </row>
    <row r="233" ht="15.75" customHeight="1">
      <c r="A233" s="13"/>
      <c r="B233" s="14"/>
      <c r="C233" s="14"/>
      <c r="D233" s="14"/>
      <c r="E233" s="14"/>
      <c r="F233" s="15"/>
      <c r="G233" s="14"/>
    </row>
    <row r="234" ht="15.75" customHeight="1">
      <c r="A234" s="13"/>
      <c r="B234" s="14"/>
      <c r="C234" s="14"/>
      <c r="D234" s="14"/>
      <c r="E234" s="14"/>
      <c r="F234" s="15"/>
      <c r="G234" s="14"/>
    </row>
    <row r="235" ht="15.75" customHeight="1">
      <c r="A235" s="13"/>
      <c r="B235" s="14"/>
      <c r="C235" s="14"/>
      <c r="D235" s="14"/>
      <c r="E235" s="14"/>
      <c r="F235" s="15"/>
      <c r="G235" s="14"/>
    </row>
    <row r="236" ht="15.75" customHeight="1">
      <c r="A236" s="13"/>
      <c r="B236" s="14"/>
      <c r="C236" s="14"/>
      <c r="D236" s="14"/>
      <c r="E236" s="14"/>
      <c r="F236" s="15"/>
      <c r="G236" s="14"/>
    </row>
    <row r="237" ht="15.75" customHeight="1">
      <c r="A237" s="13"/>
      <c r="B237" s="14"/>
      <c r="C237" s="14"/>
      <c r="D237" s="14"/>
      <c r="E237" s="14"/>
      <c r="F237" s="15"/>
      <c r="G237" s="14"/>
    </row>
    <row r="238" ht="15.75" customHeight="1">
      <c r="A238" s="13"/>
      <c r="B238" s="14"/>
      <c r="C238" s="14"/>
      <c r="D238" s="14"/>
      <c r="E238" s="14"/>
      <c r="F238" s="15"/>
      <c r="G238" s="14"/>
    </row>
    <row r="239" ht="15.75" customHeight="1">
      <c r="A239" s="13"/>
      <c r="B239" s="14"/>
      <c r="C239" s="14"/>
      <c r="D239" s="14"/>
      <c r="E239" s="14"/>
      <c r="F239" s="15"/>
      <c r="G239" s="14"/>
    </row>
    <row r="240" ht="15.75" customHeight="1">
      <c r="A240" s="13"/>
      <c r="B240" s="14"/>
      <c r="C240" s="14"/>
      <c r="D240" s="14"/>
      <c r="E240" s="14"/>
      <c r="F240" s="15"/>
      <c r="G240" s="14"/>
    </row>
    <row r="241" ht="15.75" customHeight="1">
      <c r="A241" s="13"/>
      <c r="B241" s="14"/>
      <c r="C241" s="14"/>
      <c r="D241" s="14"/>
      <c r="E241" s="14"/>
      <c r="F241" s="15"/>
      <c r="G241" s="14"/>
    </row>
    <row r="242" ht="15.75" customHeight="1">
      <c r="A242" s="13"/>
      <c r="B242" s="14"/>
      <c r="C242" s="14"/>
      <c r="D242" s="14"/>
      <c r="E242" s="14"/>
      <c r="F242" s="15"/>
      <c r="G242" s="14"/>
    </row>
    <row r="243" ht="15.75" customHeight="1">
      <c r="A243" s="13"/>
      <c r="B243" s="14"/>
      <c r="C243" s="14"/>
      <c r="D243" s="14"/>
      <c r="E243" s="14"/>
      <c r="F243" s="15"/>
      <c r="G243" s="14"/>
    </row>
    <row r="244" ht="15.75" customHeight="1">
      <c r="A244" s="13"/>
      <c r="B244" s="14"/>
      <c r="C244" s="14"/>
      <c r="D244" s="14"/>
      <c r="E244" s="14"/>
      <c r="F244" s="15"/>
      <c r="G244" s="14"/>
    </row>
    <row r="245" ht="15.75" customHeight="1">
      <c r="A245" s="13"/>
      <c r="B245" s="14"/>
      <c r="C245" s="14"/>
      <c r="D245" s="14"/>
      <c r="E245" s="14"/>
      <c r="F245" s="15"/>
      <c r="G245" s="14"/>
    </row>
    <row r="246" ht="15.75" customHeight="1">
      <c r="A246" s="13"/>
      <c r="B246" s="14"/>
      <c r="C246" s="14"/>
      <c r="D246" s="14"/>
      <c r="E246" s="14"/>
      <c r="F246" s="15"/>
      <c r="G246" s="14"/>
    </row>
    <row r="247" ht="15.75" customHeight="1">
      <c r="A247" s="13"/>
      <c r="B247" s="14"/>
      <c r="C247" s="14"/>
      <c r="D247" s="14"/>
      <c r="E247" s="14"/>
      <c r="F247" s="15"/>
      <c r="G247" s="14"/>
    </row>
    <row r="248" ht="15.75" customHeight="1">
      <c r="A248" s="13"/>
      <c r="B248" s="14"/>
      <c r="C248" s="14"/>
      <c r="D248" s="14"/>
      <c r="E248" s="14"/>
      <c r="F248" s="15"/>
      <c r="G248" s="14"/>
    </row>
    <row r="249" ht="15.75" customHeight="1">
      <c r="A249" s="13"/>
      <c r="B249" s="14"/>
      <c r="C249" s="14"/>
      <c r="D249" s="14"/>
      <c r="E249" s="14"/>
      <c r="F249" s="15"/>
      <c r="G249" s="14"/>
    </row>
    <row r="250" ht="15.75" customHeight="1">
      <c r="A250" s="13"/>
      <c r="B250" s="14"/>
      <c r="C250" s="14"/>
      <c r="D250" s="14"/>
      <c r="E250" s="14"/>
      <c r="F250" s="15"/>
      <c r="G250" s="14"/>
    </row>
    <row r="251" ht="15.75" customHeight="1">
      <c r="A251" s="13"/>
      <c r="B251" s="14"/>
      <c r="C251" s="14"/>
      <c r="D251" s="14"/>
      <c r="E251" s="14"/>
      <c r="F251" s="15"/>
      <c r="G251" s="14"/>
    </row>
    <row r="252" ht="15.75" customHeight="1">
      <c r="A252" s="13"/>
      <c r="B252" s="14"/>
      <c r="C252" s="14"/>
      <c r="D252" s="14"/>
      <c r="E252" s="14"/>
      <c r="F252" s="15"/>
      <c r="G252" s="14"/>
    </row>
    <row r="253" ht="15.75" customHeight="1">
      <c r="A253" s="13"/>
      <c r="B253" s="14"/>
      <c r="C253" s="14"/>
      <c r="D253" s="14"/>
      <c r="E253" s="14"/>
      <c r="F253" s="15"/>
      <c r="G253" s="14"/>
    </row>
    <row r="254" ht="15.75" customHeight="1">
      <c r="A254" s="13"/>
      <c r="B254" s="14"/>
      <c r="C254" s="14"/>
      <c r="D254" s="14"/>
      <c r="E254" s="14"/>
      <c r="F254" s="15"/>
      <c r="G254" s="14"/>
    </row>
    <row r="255" ht="15.75" customHeight="1">
      <c r="A255" s="13"/>
      <c r="B255" s="14"/>
      <c r="C255" s="14"/>
      <c r="D255" s="14"/>
      <c r="E255" s="14"/>
      <c r="F255" s="15"/>
      <c r="G255" s="14"/>
    </row>
    <row r="256" ht="15.75" customHeight="1">
      <c r="A256" s="13"/>
      <c r="B256" s="14"/>
      <c r="C256" s="14"/>
      <c r="D256" s="14"/>
      <c r="E256" s="14"/>
      <c r="F256" s="15"/>
      <c r="G256" s="14"/>
    </row>
    <row r="257" ht="15.75" customHeight="1">
      <c r="A257" s="13"/>
      <c r="B257" s="14"/>
      <c r="C257" s="14"/>
      <c r="D257" s="14"/>
      <c r="E257" s="14"/>
      <c r="F257" s="15"/>
      <c r="G257" s="14"/>
    </row>
    <row r="258" ht="15.75" customHeight="1">
      <c r="A258" s="13"/>
      <c r="B258" s="14"/>
      <c r="C258" s="14"/>
      <c r="D258" s="14"/>
      <c r="E258" s="14"/>
      <c r="F258" s="15"/>
      <c r="G258" s="14"/>
    </row>
    <row r="259" ht="15.75" customHeight="1">
      <c r="A259" s="13"/>
      <c r="B259" s="14"/>
      <c r="C259" s="14"/>
      <c r="D259" s="14"/>
      <c r="E259" s="14"/>
      <c r="F259" s="15"/>
      <c r="G259" s="14"/>
    </row>
    <row r="260" ht="15.75" customHeight="1">
      <c r="A260" s="13"/>
      <c r="B260" s="14"/>
      <c r="C260" s="14"/>
      <c r="D260" s="14"/>
      <c r="E260" s="14"/>
      <c r="F260" s="15"/>
      <c r="G260" s="14"/>
    </row>
    <row r="261" ht="15.75" customHeight="1">
      <c r="A261" s="13"/>
      <c r="B261" s="14"/>
      <c r="C261" s="14"/>
      <c r="D261" s="14"/>
      <c r="E261" s="14"/>
      <c r="F261" s="15"/>
      <c r="G261" s="14"/>
    </row>
    <row r="262" ht="15.75" customHeight="1">
      <c r="A262" s="13"/>
      <c r="B262" s="14"/>
      <c r="C262" s="14"/>
      <c r="D262" s="14"/>
      <c r="E262" s="14"/>
      <c r="F262" s="15"/>
      <c r="G262" s="14"/>
    </row>
    <row r="263" ht="15.75" customHeight="1">
      <c r="A263" s="13"/>
      <c r="B263" s="14"/>
      <c r="C263" s="14"/>
      <c r="D263" s="14"/>
      <c r="E263" s="14"/>
      <c r="F263" s="15"/>
      <c r="G263" s="14"/>
    </row>
    <row r="264" ht="15.75" customHeight="1">
      <c r="A264" s="13"/>
      <c r="B264" s="14"/>
      <c r="C264" s="14"/>
      <c r="D264" s="14"/>
      <c r="E264" s="14"/>
      <c r="F264" s="15"/>
      <c r="G264" s="14"/>
    </row>
    <row r="265" ht="15.75" customHeight="1">
      <c r="A265" s="13"/>
      <c r="B265" s="14"/>
      <c r="C265" s="14"/>
      <c r="D265" s="14"/>
      <c r="E265" s="14"/>
      <c r="F265" s="15"/>
      <c r="G265" s="14"/>
    </row>
    <row r="266" ht="15.75" customHeight="1">
      <c r="A266" s="13"/>
      <c r="B266" s="14"/>
      <c r="C266" s="14"/>
      <c r="D266" s="14"/>
      <c r="E266" s="14"/>
      <c r="F266" s="15"/>
      <c r="G266" s="14"/>
    </row>
    <row r="267" ht="15.75" customHeight="1">
      <c r="A267" s="13"/>
      <c r="B267" s="14"/>
      <c r="C267" s="14"/>
      <c r="D267" s="14"/>
      <c r="E267" s="14"/>
      <c r="F267" s="15"/>
      <c r="G267" s="14"/>
    </row>
    <row r="268" ht="15.75" customHeight="1">
      <c r="A268" s="13"/>
      <c r="B268" s="14"/>
      <c r="C268" s="14"/>
      <c r="D268" s="14"/>
      <c r="E268" s="14"/>
      <c r="F268" s="15"/>
      <c r="G268" s="14"/>
    </row>
    <row r="269" ht="15.75" customHeight="1">
      <c r="A269" s="13"/>
      <c r="B269" s="14"/>
      <c r="C269" s="14"/>
      <c r="D269" s="14"/>
      <c r="E269" s="14"/>
      <c r="F269" s="15"/>
      <c r="G269" s="14"/>
    </row>
    <row r="270" ht="15.75" customHeight="1">
      <c r="A270" s="13"/>
      <c r="B270" s="14"/>
      <c r="C270" s="14"/>
      <c r="D270" s="14"/>
      <c r="E270" s="14"/>
      <c r="F270" s="15"/>
      <c r="G270" s="14"/>
    </row>
  </sheetData>
  <mergeCells count="6">
    <mergeCell ref="B166:G166"/>
    <mergeCell ref="B10:G10"/>
    <mergeCell ref="B24:G24"/>
    <mergeCell ref="B38:G38"/>
    <mergeCell ref="B47:G47"/>
    <mergeCell ref="B53:G5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17"/>
      <c r="J1" s="6"/>
      <c r="K1" s="6"/>
      <c r="L1" s="6"/>
      <c r="M1" s="6"/>
      <c r="N1" s="6"/>
      <c r="O1" s="6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18">
        <v>46091.0</v>
      </c>
      <c r="B2" s="9">
        <v>97.81</v>
      </c>
      <c r="C2" s="9">
        <v>98.49</v>
      </c>
      <c r="D2" s="9">
        <v>96.29</v>
      </c>
      <c r="E2" s="9">
        <v>96.94</v>
      </c>
      <c r="F2" s="10">
        <v>96.94</v>
      </c>
      <c r="G2" s="9">
        <v>4.092058E7</v>
      </c>
      <c r="I2" s="11" t="s">
        <v>12</v>
      </c>
      <c r="J2" s="12"/>
      <c r="K2" s="12"/>
      <c r="L2" s="12"/>
      <c r="M2" s="12"/>
      <c r="N2" s="12"/>
      <c r="O2" s="12"/>
    </row>
    <row r="3" ht="15.75" customHeight="1">
      <c r="A3" s="18">
        <v>46090.0</v>
      </c>
      <c r="B3" s="9">
        <v>97.7</v>
      </c>
      <c r="C3" s="9">
        <v>98.94</v>
      </c>
      <c r="D3" s="9">
        <v>96.29</v>
      </c>
      <c r="E3" s="9">
        <v>96.94</v>
      </c>
      <c r="F3" s="10">
        <v>96.94</v>
      </c>
      <c r="G3" s="9">
        <v>8.95377E7</v>
      </c>
      <c r="I3" s="12"/>
      <c r="J3" s="12"/>
      <c r="K3" s="12"/>
      <c r="L3" s="12"/>
      <c r="M3" s="12"/>
      <c r="N3" s="12"/>
      <c r="O3" s="12"/>
    </row>
    <row r="4" ht="15.75" customHeight="1">
      <c r="A4" s="18">
        <v>46083.0</v>
      </c>
      <c r="B4" s="9">
        <v>95.26</v>
      </c>
      <c r="C4" s="9">
        <v>100.19</v>
      </c>
      <c r="D4" s="9">
        <v>95.2</v>
      </c>
      <c r="E4" s="9">
        <v>99.02</v>
      </c>
      <c r="F4" s="10">
        <v>99.02</v>
      </c>
      <c r="G4" s="9">
        <v>2.86268E8</v>
      </c>
      <c r="I4" s="11" t="s">
        <v>13</v>
      </c>
      <c r="J4" s="12"/>
      <c r="K4" s="12"/>
      <c r="L4" s="12"/>
      <c r="M4" s="12"/>
      <c r="N4" s="12"/>
      <c r="O4" s="12"/>
    </row>
    <row r="5" ht="15.75" customHeight="1">
      <c r="A5" s="18">
        <v>46076.0</v>
      </c>
      <c r="B5" s="9">
        <v>77.79</v>
      </c>
      <c r="C5" s="9">
        <v>96.75</v>
      </c>
      <c r="D5" s="9">
        <v>75.01</v>
      </c>
      <c r="E5" s="9">
        <v>96.24</v>
      </c>
      <c r="F5" s="10">
        <v>96.24</v>
      </c>
      <c r="G5" s="9">
        <v>4.271709E8</v>
      </c>
      <c r="I5" s="11" t="s">
        <v>14</v>
      </c>
      <c r="J5" s="12"/>
      <c r="K5" s="12"/>
      <c r="L5" s="12"/>
      <c r="M5" s="12"/>
      <c r="N5" s="12"/>
      <c r="O5" s="12"/>
    </row>
    <row r="6" ht="15.75" customHeight="1">
      <c r="A6" s="18">
        <v>46069.0</v>
      </c>
      <c r="B6" s="9">
        <v>76.92</v>
      </c>
      <c r="C6" s="9">
        <v>78.85</v>
      </c>
      <c r="D6" s="9">
        <v>75.3</v>
      </c>
      <c r="E6" s="9">
        <v>78.67</v>
      </c>
      <c r="F6" s="10">
        <v>78.67</v>
      </c>
      <c r="G6" s="9">
        <v>1.283951E8</v>
      </c>
      <c r="I6" s="12"/>
      <c r="J6" s="12"/>
      <c r="K6" s="12"/>
      <c r="L6" s="12"/>
      <c r="M6" s="12"/>
      <c r="N6" s="12"/>
      <c r="O6" s="12"/>
    </row>
    <row r="7" ht="15.75" customHeight="1">
      <c r="A7" s="18">
        <v>46062.0</v>
      </c>
      <c r="B7" s="9">
        <v>82.18</v>
      </c>
      <c r="C7" s="9">
        <v>84.66</v>
      </c>
      <c r="D7" s="9">
        <v>75.23</v>
      </c>
      <c r="E7" s="9">
        <v>76.87</v>
      </c>
      <c r="F7" s="10">
        <v>76.87</v>
      </c>
      <c r="G7" s="9">
        <v>2.424445E8</v>
      </c>
      <c r="I7" s="11"/>
      <c r="J7" s="12"/>
      <c r="K7" s="12"/>
      <c r="L7" s="12"/>
      <c r="M7" s="12"/>
      <c r="N7" s="12"/>
      <c r="O7" s="12"/>
    </row>
    <row r="8" ht="15.75" customHeight="1">
      <c r="A8" s="18">
        <v>46055.0</v>
      </c>
      <c r="B8" s="9">
        <v>83.53</v>
      </c>
      <c r="C8" s="9">
        <v>85.27</v>
      </c>
      <c r="D8" s="9">
        <v>79.23</v>
      </c>
      <c r="E8" s="9">
        <v>82.2</v>
      </c>
      <c r="F8" s="10">
        <v>82.2</v>
      </c>
      <c r="G8" s="9">
        <v>2.411573E8</v>
      </c>
      <c r="I8" s="12"/>
      <c r="J8" s="12"/>
      <c r="K8" s="12"/>
      <c r="L8" s="12"/>
      <c r="M8" s="12"/>
      <c r="N8" s="12"/>
      <c r="O8" s="12"/>
    </row>
    <row r="9" ht="15.75" customHeight="1">
      <c r="A9" s="18">
        <v>46048.0</v>
      </c>
      <c r="B9" s="9">
        <v>86.92</v>
      </c>
      <c r="C9" s="9">
        <v>86.94</v>
      </c>
      <c r="D9" s="9">
        <v>82.35</v>
      </c>
      <c r="E9" s="9">
        <v>83.49</v>
      </c>
      <c r="F9" s="10">
        <v>83.49</v>
      </c>
      <c r="G9" s="9">
        <v>2.045284E8</v>
      </c>
      <c r="I9" s="11"/>
      <c r="J9" s="12"/>
      <c r="K9" s="12"/>
      <c r="L9" s="12"/>
      <c r="M9" s="12"/>
      <c r="N9" s="12"/>
      <c r="O9" s="12"/>
    </row>
    <row r="10" ht="15.75" customHeight="1">
      <c r="A10" s="18">
        <v>46041.0</v>
      </c>
      <c r="B10" s="9">
        <v>88.97</v>
      </c>
      <c r="C10" s="9">
        <v>89.9</v>
      </c>
      <c r="D10" s="9">
        <v>81.93</v>
      </c>
      <c r="E10" s="9">
        <v>86.12</v>
      </c>
      <c r="F10" s="10">
        <v>86.12</v>
      </c>
      <c r="G10" s="9">
        <v>3.713041E8</v>
      </c>
    </row>
    <row r="11" ht="15.75" customHeight="1">
      <c r="A11" s="18">
        <v>46034.0</v>
      </c>
      <c r="B11" s="9">
        <v>89.69</v>
      </c>
      <c r="C11" s="9">
        <v>91.58</v>
      </c>
      <c r="D11" s="9">
        <v>87.78</v>
      </c>
      <c r="E11" s="9">
        <v>88.0</v>
      </c>
      <c r="F11" s="10">
        <v>88.0</v>
      </c>
      <c r="G11" s="9">
        <v>2.16325E8</v>
      </c>
    </row>
    <row r="12" ht="15.75" customHeight="1">
      <c r="A12" s="18">
        <v>46027.0</v>
      </c>
      <c r="B12" s="9">
        <v>90.92</v>
      </c>
      <c r="C12" s="9">
        <v>92.63</v>
      </c>
      <c r="D12" s="9">
        <v>88.32</v>
      </c>
      <c r="E12" s="9">
        <v>89.46</v>
      </c>
      <c r="F12" s="10">
        <v>89.46</v>
      </c>
      <c r="G12" s="9">
        <v>2.146882E8</v>
      </c>
    </row>
    <row r="13" ht="15.75" customHeight="1">
      <c r="A13" s="18">
        <v>46020.0</v>
      </c>
      <c r="B13" s="9">
        <v>93.99</v>
      </c>
      <c r="C13" s="9">
        <v>94.97</v>
      </c>
      <c r="D13" s="9">
        <v>90.81</v>
      </c>
      <c r="E13" s="9">
        <v>90.99</v>
      </c>
      <c r="F13" s="10">
        <v>90.99</v>
      </c>
      <c r="G13" s="9">
        <v>1.125663E8</v>
      </c>
    </row>
    <row r="14" ht="15.75" customHeight="1">
      <c r="A14" s="18">
        <v>46013.0</v>
      </c>
      <c r="B14" s="9">
        <v>94.71</v>
      </c>
      <c r="C14" s="9">
        <v>94.71</v>
      </c>
      <c r="D14" s="9">
        <v>91.33</v>
      </c>
      <c r="E14" s="9">
        <v>94.47</v>
      </c>
      <c r="F14" s="10">
        <v>94.47</v>
      </c>
      <c r="G14" s="9">
        <v>9.98772E7</v>
      </c>
    </row>
    <row r="15" ht="15.75" customHeight="1">
      <c r="A15" s="18">
        <v>46006.0</v>
      </c>
      <c r="B15" s="9">
        <v>96.02</v>
      </c>
      <c r="C15" s="9">
        <v>97.33</v>
      </c>
      <c r="D15" s="9">
        <v>93.32</v>
      </c>
      <c r="E15" s="9">
        <v>94.39</v>
      </c>
      <c r="F15" s="10">
        <v>94.39</v>
      </c>
      <c r="G15" s="9">
        <v>2.409892E8</v>
      </c>
    </row>
    <row r="16" ht="15.75" customHeight="1">
      <c r="A16" s="18">
        <v>45999.0</v>
      </c>
      <c r="B16" s="9">
        <v>99.87</v>
      </c>
      <c r="C16" s="9">
        <v>99.89</v>
      </c>
      <c r="D16" s="9">
        <v>92.35</v>
      </c>
      <c r="E16" s="9">
        <v>95.19</v>
      </c>
      <c r="F16" s="10">
        <v>95.19</v>
      </c>
      <c r="G16" s="9">
        <v>3.200533E8</v>
      </c>
    </row>
    <row r="17" ht="15.75" customHeight="1">
      <c r="A17" s="18">
        <v>45992.0</v>
      </c>
      <c r="B17" s="9">
        <v>106.51</v>
      </c>
      <c r="C17" s="9">
        <v>109.73</v>
      </c>
      <c r="D17" s="9">
        <v>97.74</v>
      </c>
      <c r="E17" s="9">
        <v>100.24</v>
      </c>
      <c r="F17" s="10">
        <v>100.24</v>
      </c>
      <c r="G17" s="9">
        <v>2.893725E8</v>
      </c>
    </row>
    <row r="18" ht="15.75" customHeight="1">
      <c r="A18" s="18">
        <v>45985.0</v>
      </c>
      <c r="B18" s="9">
        <v>104.25</v>
      </c>
      <c r="C18" s="9">
        <v>108.04</v>
      </c>
      <c r="D18" s="9">
        <v>103.32</v>
      </c>
      <c r="E18" s="9">
        <v>107.58</v>
      </c>
      <c r="F18" s="10">
        <v>107.58</v>
      </c>
      <c r="G18" s="9">
        <v>1.410135E8</v>
      </c>
    </row>
    <row r="19" ht="15.75" customHeight="1">
      <c r="A19" s="18">
        <v>45978.0</v>
      </c>
      <c r="B19" s="9" t="s">
        <v>11</v>
      </c>
    </row>
    <row r="20" ht="15.75" customHeight="1">
      <c r="A20" s="18">
        <v>45978.0</v>
      </c>
      <c r="B20" s="9">
        <v>110.75</v>
      </c>
      <c r="C20" s="9">
        <v>115.25</v>
      </c>
      <c r="D20" s="9">
        <v>103.81</v>
      </c>
      <c r="E20" s="9">
        <v>104.31</v>
      </c>
      <c r="F20" s="10">
        <v>104.31</v>
      </c>
      <c r="G20" s="9">
        <v>1.795426E8</v>
      </c>
    </row>
    <row r="21" ht="15.75" customHeight="1">
      <c r="A21" s="18">
        <v>45971.0</v>
      </c>
      <c r="B21" s="9">
        <v>110.67</v>
      </c>
      <c r="C21" s="9">
        <v>116.73</v>
      </c>
      <c r="D21" s="9">
        <v>110.4</v>
      </c>
      <c r="E21" s="9">
        <v>111.22</v>
      </c>
      <c r="F21" s="10">
        <v>111.22</v>
      </c>
      <c r="G21" s="9">
        <v>1.91867E8</v>
      </c>
    </row>
    <row r="22" ht="15.75" customHeight="1">
      <c r="A22" s="18">
        <v>45964.0</v>
      </c>
      <c r="B22" s="9">
        <v>113.32</v>
      </c>
      <c r="C22" s="9">
        <v>113.35</v>
      </c>
      <c r="D22" s="9">
        <v>107.34</v>
      </c>
      <c r="E22" s="9">
        <v>110.37</v>
      </c>
      <c r="F22" s="10">
        <v>110.37</v>
      </c>
      <c r="G22" s="9">
        <v>2.13548E8</v>
      </c>
    </row>
    <row r="23" ht="15.75" customHeight="1">
      <c r="A23" s="18">
        <v>45957.0</v>
      </c>
      <c r="B23" s="9">
        <v>110.07</v>
      </c>
      <c r="C23" s="9">
        <v>113.49</v>
      </c>
      <c r="D23" s="9">
        <v>108.73</v>
      </c>
      <c r="E23" s="9">
        <v>111.89</v>
      </c>
      <c r="F23" s="10">
        <v>111.89</v>
      </c>
      <c r="G23" s="9">
        <v>2.31361E8</v>
      </c>
    </row>
    <row r="24" ht="15.75" customHeight="1">
      <c r="A24" s="18">
        <v>45950.0</v>
      </c>
      <c r="B24" s="9">
        <v>120.79</v>
      </c>
      <c r="C24" s="9">
        <v>124.86</v>
      </c>
      <c r="D24" s="9">
        <v>109.44</v>
      </c>
      <c r="E24" s="9">
        <v>109.47</v>
      </c>
      <c r="F24" s="10">
        <v>109.47</v>
      </c>
      <c r="G24" s="9">
        <v>3.81611E8</v>
      </c>
    </row>
    <row r="25" ht="15.75" customHeight="1">
      <c r="A25" s="18">
        <v>45943.0</v>
      </c>
      <c r="B25" s="9">
        <v>122.14</v>
      </c>
      <c r="C25" s="9">
        <v>123.11</v>
      </c>
      <c r="D25" s="9">
        <v>117.6</v>
      </c>
      <c r="E25" s="9">
        <v>119.94</v>
      </c>
      <c r="F25" s="10">
        <v>119.94</v>
      </c>
      <c r="G25" s="9">
        <v>1.26381E8</v>
      </c>
    </row>
    <row r="26" ht="15.75" customHeight="1">
      <c r="A26" s="18">
        <v>45936.0</v>
      </c>
      <c r="B26" s="9">
        <v>116.04</v>
      </c>
      <c r="C26" s="9">
        <v>124.7</v>
      </c>
      <c r="D26" s="9">
        <v>114.54</v>
      </c>
      <c r="E26" s="9">
        <v>122.01</v>
      </c>
      <c r="F26" s="10">
        <v>122.01</v>
      </c>
      <c r="G26" s="9">
        <v>1.6233E8</v>
      </c>
    </row>
    <row r="27" ht="15.75" customHeight="1">
      <c r="A27" s="18">
        <v>45929.0</v>
      </c>
      <c r="B27" s="9">
        <v>120.5</v>
      </c>
      <c r="C27" s="9">
        <v>122.45</v>
      </c>
      <c r="D27" s="9">
        <v>113.4</v>
      </c>
      <c r="E27" s="9">
        <v>115.33</v>
      </c>
      <c r="F27" s="10">
        <v>115.33</v>
      </c>
      <c r="G27" s="9">
        <v>1.87966E8</v>
      </c>
    </row>
    <row r="28" ht="15.75" customHeight="1">
      <c r="A28" s="18">
        <v>45922.0</v>
      </c>
      <c r="B28" s="9">
        <v>122.19</v>
      </c>
      <c r="C28" s="9">
        <v>122.98</v>
      </c>
      <c r="D28" s="9">
        <v>119.15</v>
      </c>
      <c r="E28" s="9">
        <v>121.06</v>
      </c>
      <c r="F28" s="10">
        <v>121.06</v>
      </c>
      <c r="G28" s="9">
        <v>1.17618E8</v>
      </c>
    </row>
    <row r="29" ht="15.75" customHeight="1">
      <c r="A29" s="18">
        <v>45915.0</v>
      </c>
      <c r="B29" s="9">
        <v>118.84</v>
      </c>
      <c r="C29" s="9">
        <v>123.39</v>
      </c>
      <c r="D29" s="9">
        <v>117.32</v>
      </c>
      <c r="E29" s="9">
        <v>122.7</v>
      </c>
      <c r="F29" s="10">
        <v>122.7</v>
      </c>
      <c r="G29" s="9">
        <v>1.68905E8</v>
      </c>
    </row>
    <row r="30" ht="15.75" customHeight="1">
      <c r="A30" s="18">
        <v>45908.0</v>
      </c>
      <c r="B30" s="9">
        <v>124.85</v>
      </c>
      <c r="C30" s="9">
        <v>126.7</v>
      </c>
      <c r="D30" s="9">
        <v>118.24</v>
      </c>
      <c r="E30" s="9">
        <v>118.84</v>
      </c>
      <c r="F30" s="10">
        <v>118.84</v>
      </c>
      <c r="G30" s="9">
        <v>1.6303E8</v>
      </c>
    </row>
    <row r="31" ht="15.75" customHeight="1">
      <c r="A31" s="18">
        <v>45901.0</v>
      </c>
      <c r="B31" s="9">
        <v>119.7</v>
      </c>
      <c r="C31" s="9">
        <v>126.71</v>
      </c>
      <c r="D31" s="9">
        <v>118.28</v>
      </c>
      <c r="E31" s="9">
        <v>124.38</v>
      </c>
      <c r="F31" s="10">
        <v>124.38</v>
      </c>
      <c r="G31" s="9">
        <v>1.0178E8</v>
      </c>
    </row>
    <row r="32" ht="15.75" customHeight="1">
      <c r="A32" s="18">
        <v>45894.0</v>
      </c>
      <c r="B32" s="9">
        <v>120.17</v>
      </c>
      <c r="C32" s="9">
        <v>123.79</v>
      </c>
      <c r="D32" s="9">
        <v>119.9</v>
      </c>
      <c r="E32" s="9">
        <v>120.82</v>
      </c>
      <c r="F32" s="10">
        <v>120.82</v>
      </c>
      <c r="G32" s="9">
        <v>1.16223E8</v>
      </c>
    </row>
    <row r="33" ht="15.75" customHeight="1">
      <c r="A33" s="18">
        <v>45887.0</v>
      </c>
      <c r="B33" s="9">
        <v>123.56</v>
      </c>
      <c r="C33" s="9">
        <v>125.12</v>
      </c>
      <c r="D33" s="9">
        <v>119.28</v>
      </c>
      <c r="E33" s="9">
        <v>120.46</v>
      </c>
      <c r="F33" s="10">
        <v>120.46</v>
      </c>
      <c r="G33" s="9">
        <v>1.34285E8</v>
      </c>
    </row>
    <row r="34" ht="15.75" customHeight="1">
      <c r="A34" s="18">
        <v>45880.0</v>
      </c>
      <c r="B34" s="9">
        <v>121.4</v>
      </c>
      <c r="C34" s="9">
        <v>124.69</v>
      </c>
      <c r="D34" s="9">
        <v>120.19</v>
      </c>
      <c r="E34" s="9">
        <v>123.89</v>
      </c>
      <c r="F34" s="10">
        <v>123.89</v>
      </c>
      <c r="G34" s="9">
        <v>1.41693E8</v>
      </c>
    </row>
    <row r="35" ht="15.75" customHeight="1">
      <c r="A35" s="18">
        <v>45873.0</v>
      </c>
      <c r="B35" s="9">
        <v>116.76</v>
      </c>
      <c r="C35" s="9">
        <v>121.41</v>
      </c>
      <c r="D35" s="9">
        <v>114.47</v>
      </c>
      <c r="E35" s="9">
        <v>121.16</v>
      </c>
      <c r="F35" s="10">
        <v>121.16</v>
      </c>
      <c r="G35" s="9">
        <v>1.47126E8</v>
      </c>
    </row>
    <row r="36" ht="15.75" customHeight="1">
      <c r="A36" s="18">
        <v>45866.0</v>
      </c>
      <c r="B36" s="9">
        <v>118.12</v>
      </c>
      <c r="C36" s="9">
        <v>119.78</v>
      </c>
      <c r="D36" s="9">
        <v>115.29</v>
      </c>
      <c r="E36" s="9">
        <v>115.86</v>
      </c>
      <c r="F36" s="10">
        <v>115.86</v>
      </c>
      <c r="G36" s="9">
        <v>1.67261E8</v>
      </c>
    </row>
    <row r="37" ht="15.75" customHeight="1">
      <c r="A37" s="18">
        <v>45859.0</v>
      </c>
      <c r="B37" s="9">
        <v>120.6</v>
      </c>
      <c r="C37" s="9">
        <v>123.71</v>
      </c>
      <c r="D37" s="9">
        <v>116.27</v>
      </c>
      <c r="E37" s="9">
        <v>118.05</v>
      </c>
      <c r="F37" s="10">
        <v>118.05</v>
      </c>
      <c r="G37" s="9">
        <v>2.16698E8</v>
      </c>
    </row>
    <row r="38" ht="15.75" customHeight="1">
      <c r="A38" s="18">
        <v>45852.0</v>
      </c>
      <c r="B38" s="9">
        <v>124.49</v>
      </c>
      <c r="C38" s="9">
        <v>127.75</v>
      </c>
      <c r="D38" s="9">
        <v>120.1</v>
      </c>
      <c r="E38" s="9">
        <v>120.92</v>
      </c>
      <c r="F38" s="10">
        <v>120.92</v>
      </c>
      <c r="G38" s="9">
        <v>2.59729E8</v>
      </c>
    </row>
    <row r="39" ht="15.75" customHeight="1">
      <c r="A39" s="18">
        <v>45845.0</v>
      </c>
      <c r="B39" s="9">
        <v>129.5</v>
      </c>
      <c r="C39" s="9">
        <v>129.5</v>
      </c>
      <c r="D39" s="9">
        <v>123.13</v>
      </c>
      <c r="E39" s="9">
        <v>124.51</v>
      </c>
      <c r="F39" s="10">
        <v>124.51</v>
      </c>
      <c r="G39" s="9">
        <v>1.61387E8</v>
      </c>
    </row>
    <row r="40" ht="15.75" customHeight="1">
      <c r="A40" s="18">
        <v>45838.0</v>
      </c>
      <c r="B40" s="9">
        <v>133.1</v>
      </c>
      <c r="C40" s="9">
        <v>134.12</v>
      </c>
      <c r="D40" s="9">
        <v>127.16</v>
      </c>
      <c r="E40" s="9">
        <v>129.72</v>
      </c>
      <c r="F40" s="10">
        <v>129.72</v>
      </c>
      <c r="G40" s="9">
        <v>1.33315E8</v>
      </c>
    </row>
    <row r="41" ht="15.75" customHeight="1">
      <c r="A41" s="18">
        <v>45831.0</v>
      </c>
      <c r="B41" s="9">
        <v>123.8</v>
      </c>
      <c r="C41" s="9">
        <v>133.13</v>
      </c>
      <c r="D41" s="9">
        <v>121.5</v>
      </c>
      <c r="E41" s="9">
        <v>132.31</v>
      </c>
      <c r="F41" s="10">
        <v>132.31</v>
      </c>
      <c r="G41" s="9">
        <v>1.41539E8</v>
      </c>
    </row>
    <row r="42" ht="15.75" customHeight="1">
      <c r="A42" s="18">
        <v>45824.0</v>
      </c>
      <c r="B42" s="9">
        <v>121.22</v>
      </c>
      <c r="C42" s="9">
        <v>124.85</v>
      </c>
      <c r="D42" s="9">
        <v>121.22</v>
      </c>
      <c r="E42" s="9">
        <v>123.14</v>
      </c>
      <c r="F42" s="10">
        <v>123.14</v>
      </c>
      <c r="G42" s="9">
        <v>1.16341E8</v>
      </c>
    </row>
    <row r="43" ht="15.75" customHeight="1">
      <c r="A43" s="18">
        <v>45817.0</v>
      </c>
      <c r="B43" s="9">
        <v>123.89</v>
      </c>
      <c r="C43" s="9">
        <v>123.89</v>
      </c>
      <c r="D43" s="9">
        <v>118.06</v>
      </c>
      <c r="E43" s="9">
        <v>121.21</v>
      </c>
      <c r="F43" s="10">
        <v>121.21</v>
      </c>
      <c r="G43" s="9">
        <v>1.35347E8</v>
      </c>
    </row>
    <row r="44" ht="15.75" customHeight="1">
      <c r="A44" s="18">
        <v>45810.0</v>
      </c>
      <c r="B44" s="9">
        <v>120.12</v>
      </c>
      <c r="C44" s="9">
        <v>126.28</v>
      </c>
      <c r="D44" s="9">
        <v>119.63</v>
      </c>
      <c r="E44" s="9">
        <v>124.15</v>
      </c>
      <c r="F44" s="10">
        <v>124.15</v>
      </c>
      <c r="G44" s="9">
        <v>1.23916E8</v>
      </c>
    </row>
    <row r="45" ht="15.75" customHeight="1">
      <c r="A45" s="18">
        <v>45803.0</v>
      </c>
      <c r="B45" s="9">
        <v>119.53</v>
      </c>
      <c r="C45" s="9">
        <v>121.59</v>
      </c>
      <c r="D45" s="9">
        <v>117.63</v>
      </c>
      <c r="E45" s="9">
        <v>120.72</v>
      </c>
      <c r="F45" s="10">
        <v>120.72</v>
      </c>
      <c r="G45" s="9">
        <v>1.27739E8</v>
      </c>
    </row>
    <row r="46" ht="15.75" customHeight="1">
      <c r="A46" s="18">
        <v>45796.0</v>
      </c>
      <c r="B46" s="9">
        <v>117.36</v>
      </c>
      <c r="C46" s="9">
        <v>121.12</v>
      </c>
      <c r="D46" s="9">
        <v>117.17</v>
      </c>
      <c r="E46" s="9">
        <v>118.54</v>
      </c>
      <c r="F46" s="10">
        <v>118.54</v>
      </c>
      <c r="G46" s="9">
        <v>1.20112E8</v>
      </c>
    </row>
    <row r="47" ht="15.75" customHeight="1">
      <c r="A47" s="18">
        <v>45789.0</v>
      </c>
      <c r="B47" s="9">
        <v>112.43</v>
      </c>
      <c r="C47" s="9">
        <v>119.65</v>
      </c>
      <c r="D47" s="9">
        <v>110.29</v>
      </c>
      <c r="E47" s="9">
        <v>119.15</v>
      </c>
      <c r="F47" s="10">
        <v>119.15</v>
      </c>
      <c r="G47" s="9">
        <v>2.35495E8</v>
      </c>
    </row>
    <row r="48" ht="15.75" customHeight="1">
      <c r="A48" s="18">
        <v>45782.0</v>
      </c>
      <c r="B48" s="9">
        <v>111.48</v>
      </c>
      <c r="C48" s="9">
        <v>116.4</v>
      </c>
      <c r="D48" s="9">
        <v>110.7</v>
      </c>
      <c r="E48" s="9">
        <v>114.02</v>
      </c>
      <c r="F48" s="10">
        <v>114.02</v>
      </c>
      <c r="G48" s="9">
        <v>1.95992E8</v>
      </c>
    </row>
    <row r="49" ht="15.75" customHeight="1">
      <c r="A49" s="18">
        <v>45775.0</v>
      </c>
      <c r="B49" s="9">
        <v>110.0</v>
      </c>
      <c r="C49" s="9">
        <v>115.94</v>
      </c>
      <c r="D49" s="9">
        <v>108.26</v>
      </c>
      <c r="E49" s="9">
        <v>115.65</v>
      </c>
      <c r="F49" s="10">
        <v>115.65</v>
      </c>
      <c r="G49" s="9">
        <v>1.91489E8</v>
      </c>
    </row>
    <row r="50" ht="15.75" customHeight="1">
      <c r="A50" s="18">
        <v>45768.0</v>
      </c>
      <c r="B50" s="9">
        <v>98.44</v>
      </c>
      <c r="C50" s="9">
        <v>110.68</v>
      </c>
      <c r="D50" s="9">
        <v>97.31</v>
      </c>
      <c r="E50" s="9">
        <v>110.15</v>
      </c>
      <c r="F50" s="10">
        <v>110.15</v>
      </c>
      <c r="G50" s="9">
        <v>3.59484E8</v>
      </c>
    </row>
    <row r="51" ht="15.75" customHeight="1">
      <c r="A51" s="18">
        <v>45761.0</v>
      </c>
      <c r="B51" s="9">
        <v>93.27</v>
      </c>
      <c r="C51" s="9">
        <v>99.35</v>
      </c>
      <c r="D51" s="9">
        <v>91.95</v>
      </c>
      <c r="E51" s="9">
        <v>97.3</v>
      </c>
      <c r="F51" s="10">
        <v>97.3</v>
      </c>
      <c r="G51" s="9">
        <v>2.67077E8</v>
      </c>
    </row>
    <row r="52" ht="15.75" customHeight="1">
      <c r="A52" s="18">
        <v>45754.0</v>
      </c>
      <c r="B52" s="9">
        <v>82.79</v>
      </c>
      <c r="C52" s="9">
        <v>95.14</v>
      </c>
      <c r="D52" s="9">
        <v>82.11</v>
      </c>
      <c r="E52" s="9">
        <v>91.83</v>
      </c>
      <c r="F52" s="10">
        <v>91.83</v>
      </c>
      <c r="G52" s="9">
        <v>2.89836E8</v>
      </c>
    </row>
    <row r="53" ht="15.75" customHeight="1">
      <c r="A53" s="18">
        <v>45747.0</v>
      </c>
      <c r="B53" s="9">
        <v>92.05</v>
      </c>
      <c r="C53" s="9">
        <v>94.96</v>
      </c>
      <c r="D53" s="9">
        <v>85.39</v>
      </c>
      <c r="E53" s="9">
        <v>85.59</v>
      </c>
      <c r="F53" s="10">
        <v>85.59</v>
      </c>
      <c r="G53" s="9">
        <v>2.40744E8</v>
      </c>
    </row>
    <row r="54" ht="15.75" customHeight="1">
      <c r="A54" s="18">
        <v>45740.0</v>
      </c>
      <c r="B54" s="9">
        <v>96.97</v>
      </c>
      <c r="C54" s="9">
        <v>99.87</v>
      </c>
      <c r="D54" s="9">
        <v>92.92</v>
      </c>
      <c r="E54" s="9">
        <v>93.39</v>
      </c>
      <c r="F54" s="10">
        <v>93.39</v>
      </c>
      <c r="G54" s="9">
        <v>1.94574E8</v>
      </c>
    </row>
    <row r="55" ht="15.75" customHeight="1">
      <c r="A55" s="18">
        <v>45733.0</v>
      </c>
      <c r="B55" s="9">
        <v>94.0</v>
      </c>
      <c r="C55" s="9">
        <v>96.8</v>
      </c>
      <c r="D55" s="9">
        <v>91.63</v>
      </c>
      <c r="E55" s="9">
        <v>96.03</v>
      </c>
      <c r="F55" s="10">
        <v>96.03</v>
      </c>
      <c r="G55" s="9">
        <v>3.05866E8</v>
      </c>
    </row>
    <row r="56" ht="15.75" customHeight="1">
      <c r="A56" s="18">
        <v>45726.0</v>
      </c>
      <c r="B56" s="9">
        <v>86.74</v>
      </c>
      <c r="C56" s="9">
        <v>92.72</v>
      </c>
      <c r="D56" s="9">
        <v>86.6</v>
      </c>
      <c r="E56" s="9">
        <v>91.8</v>
      </c>
      <c r="F56" s="10">
        <v>91.8</v>
      </c>
      <c r="G56" s="9">
        <v>2.44671E8</v>
      </c>
    </row>
    <row r="57" ht="15.75" customHeight="1">
      <c r="A57" s="19"/>
      <c r="B57" s="14"/>
      <c r="C57" s="14"/>
      <c r="D57" s="14"/>
      <c r="E57" s="14"/>
      <c r="F57" s="15"/>
      <c r="G57" s="14"/>
    </row>
    <row r="58" ht="15.75" customHeight="1">
      <c r="A58" s="19"/>
      <c r="B58" s="14"/>
      <c r="C58" s="14"/>
      <c r="D58" s="14"/>
      <c r="E58" s="14"/>
      <c r="F58" s="15"/>
      <c r="G58" s="14"/>
    </row>
    <row r="59" ht="15.75" customHeight="1">
      <c r="A59" s="19"/>
      <c r="B59" s="14"/>
      <c r="C59" s="14"/>
      <c r="D59" s="14"/>
      <c r="E59" s="14"/>
      <c r="F59" s="15"/>
      <c r="G59" s="14"/>
    </row>
    <row r="60" ht="15.75" customHeight="1">
      <c r="A60" s="19"/>
      <c r="B60" s="14"/>
      <c r="C60" s="14"/>
      <c r="D60" s="14"/>
      <c r="E60" s="14"/>
      <c r="F60" s="15"/>
      <c r="G60" s="14"/>
    </row>
    <row r="61" ht="15.75" customHeight="1">
      <c r="A61" s="19"/>
      <c r="B61" s="14"/>
      <c r="C61" s="14"/>
      <c r="D61" s="14"/>
      <c r="E61" s="14"/>
      <c r="F61" s="15"/>
      <c r="G61" s="14"/>
    </row>
    <row r="62" ht="15.75" customHeight="1">
      <c r="A62" s="19"/>
      <c r="B62" s="14"/>
      <c r="C62" s="14"/>
      <c r="D62" s="14"/>
      <c r="E62" s="14"/>
      <c r="F62" s="15"/>
      <c r="G62" s="14"/>
    </row>
    <row r="63" ht="15.75" customHeight="1">
      <c r="A63" s="19"/>
      <c r="B63" s="14"/>
      <c r="C63" s="14"/>
      <c r="D63" s="14"/>
      <c r="E63" s="14"/>
      <c r="F63" s="15"/>
      <c r="G63" s="14"/>
    </row>
    <row r="64" ht="15.75" customHeight="1">
      <c r="A64" s="19"/>
      <c r="B64" s="14"/>
      <c r="C64" s="14"/>
      <c r="D64" s="14"/>
      <c r="E64" s="14"/>
      <c r="F64" s="15"/>
      <c r="G64" s="14"/>
    </row>
    <row r="65" ht="15.75" customHeight="1">
      <c r="A65" s="19"/>
      <c r="B65" s="14"/>
      <c r="C65" s="14"/>
      <c r="D65" s="14"/>
      <c r="E65" s="14"/>
      <c r="F65" s="15"/>
      <c r="G65" s="14"/>
    </row>
    <row r="66" ht="15.75" customHeight="1">
      <c r="A66" s="19"/>
      <c r="B66" s="14"/>
      <c r="C66" s="14"/>
      <c r="D66" s="14"/>
      <c r="E66" s="14"/>
      <c r="F66" s="15"/>
      <c r="G66" s="14"/>
    </row>
    <row r="67" ht="15.75" customHeight="1">
      <c r="A67" s="19"/>
      <c r="B67" s="14"/>
      <c r="C67" s="14"/>
      <c r="D67" s="14"/>
      <c r="E67" s="14"/>
      <c r="F67" s="15"/>
      <c r="G67" s="14"/>
    </row>
    <row r="68" ht="15.75" customHeight="1">
      <c r="A68" s="19"/>
      <c r="B68" s="14"/>
      <c r="C68" s="14"/>
      <c r="D68" s="14"/>
      <c r="E68" s="14"/>
      <c r="F68" s="15"/>
      <c r="G68" s="14"/>
    </row>
    <row r="69" ht="15.75" customHeight="1">
      <c r="A69" s="19"/>
      <c r="B69" s="14"/>
      <c r="C69" s="14"/>
      <c r="D69" s="14"/>
      <c r="E69" s="14"/>
      <c r="F69" s="15"/>
      <c r="G69" s="14"/>
    </row>
    <row r="70" ht="15.75" customHeight="1">
      <c r="A70" s="19"/>
      <c r="B70" s="14"/>
      <c r="C70" s="14"/>
      <c r="D70" s="14"/>
      <c r="E70" s="14"/>
      <c r="F70" s="15"/>
      <c r="G70" s="14"/>
    </row>
    <row r="71" ht="15.75" customHeight="1">
      <c r="A71" s="19"/>
      <c r="B71" s="14"/>
      <c r="C71" s="14"/>
      <c r="D71" s="14"/>
      <c r="E71" s="14"/>
      <c r="F71" s="15"/>
      <c r="G71" s="14"/>
    </row>
    <row r="72" ht="15.75" customHeight="1">
      <c r="A72" s="19"/>
      <c r="B72" s="14"/>
      <c r="C72" s="14"/>
      <c r="D72" s="14"/>
      <c r="E72" s="14"/>
      <c r="F72" s="15"/>
      <c r="G72" s="14"/>
    </row>
    <row r="73" ht="15.75" customHeight="1">
      <c r="A73" s="19"/>
      <c r="B73" s="14"/>
      <c r="C73" s="14"/>
      <c r="D73" s="14"/>
      <c r="E73" s="14"/>
      <c r="F73" s="15"/>
      <c r="G73" s="14"/>
    </row>
    <row r="74" ht="15.75" customHeight="1">
      <c r="A74" s="19"/>
      <c r="B74" s="14"/>
      <c r="C74" s="14"/>
      <c r="D74" s="14"/>
      <c r="E74" s="14"/>
      <c r="F74" s="15"/>
      <c r="G74" s="14"/>
    </row>
    <row r="75" ht="15.75" customHeight="1">
      <c r="A75" s="19"/>
      <c r="B75" s="14"/>
      <c r="C75" s="14"/>
      <c r="D75" s="14"/>
      <c r="E75" s="14"/>
      <c r="F75" s="15"/>
      <c r="G75" s="14"/>
    </row>
    <row r="76" ht="15.75" customHeight="1">
      <c r="A76" s="19"/>
      <c r="B76" s="14"/>
      <c r="C76" s="14"/>
      <c r="D76" s="14"/>
      <c r="E76" s="14"/>
      <c r="F76" s="15"/>
      <c r="G76" s="14"/>
    </row>
    <row r="77" ht="15.75" customHeight="1">
      <c r="A77" s="19"/>
      <c r="B77" s="14"/>
      <c r="C77" s="14"/>
      <c r="D77" s="14"/>
      <c r="E77" s="14"/>
      <c r="F77" s="15"/>
      <c r="G77" s="14"/>
    </row>
    <row r="78" ht="15.75" customHeight="1">
      <c r="A78" s="19"/>
      <c r="B78" s="14"/>
      <c r="C78" s="14"/>
      <c r="D78" s="14"/>
      <c r="E78" s="14"/>
      <c r="F78" s="15"/>
      <c r="G78" s="14"/>
    </row>
    <row r="79" ht="15.75" customHeight="1">
      <c r="A79" s="19"/>
      <c r="B79" s="14"/>
      <c r="C79" s="14"/>
      <c r="D79" s="14"/>
      <c r="E79" s="14"/>
      <c r="F79" s="15"/>
      <c r="G79" s="14"/>
    </row>
    <row r="80" ht="15.75" customHeight="1">
      <c r="A80" s="19"/>
      <c r="B80" s="14"/>
      <c r="C80" s="14"/>
      <c r="D80" s="14"/>
      <c r="E80" s="14"/>
      <c r="F80" s="15"/>
      <c r="G80" s="14"/>
    </row>
    <row r="81" ht="15.75" customHeight="1">
      <c r="A81" s="19"/>
      <c r="B81" s="14"/>
      <c r="C81" s="14"/>
      <c r="D81" s="14"/>
      <c r="E81" s="14"/>
      <c r="F81" s="15"/>
      <c r="G81" s="14"/>
    </row>
    <row r="82" ht="15.75" customHeight="1">
      <c r="A82" s="19"/>
      <c r="B82" s="14"/>
      <c r="C82" s="14"/>
      <c r="D82" s="14"/>
      <c r="E82" s="14"/>
      <c r="F82" s="15"/>
      <c r="G82" s="14"/>
    </row>
    <row r="83" ht="15.75" customHeight="1">
      <c r="A83" s="19"/>
      <c r="B83" s="14"/>
      <c r="C83" s="14"/>
      <c r="D83" s="14"/>
      <c r="E83" s="14"/>
      <c r="F83" s="15"/>
      <c r="G83" s="14"/>
    </row>
    <row r="84" ht="15.75" customHeight="1">
      <c r="A84" s="19"/>
      <c r="B84" s="14"/>
      <c r="C84" s="14"/>
      <c r="D84" s="14"/>
      <c r="E84" s="14"/>
      <c r="F84" s="15"/>
      <c r="G84" s="14"/>
    </row>
    <row r="85" ht="15.75" customHeight="1">
      <c r="A85" s="19"/>
      <c r="B85" s="14"/>
      <c r="C85" s="14"/>
      <c r="D85" s="14"/>
      <c r="E85" s="14"/>
      <c r="F85" s="15"/>
      <c r="G85" s="14"/>
    </row>
    <row r="86" ht="15.75" customHeight="1">
      <c r="A86" s="19"/>
      <c r="B86" s="14"/>
      <c r="C86" s="14"/>
      <c r="D86" s="14"/>
      <c r="E86" s="14"/>
      <c r="F86" s="15"/>
      <c r="G86" s="14"/>
    </row>
    <row r="87" ht="15.75" customHeight="1">
      <c r="A87" s="19"/>
      <c r="B87" s="14"/>
      <c r="C87" s="14"/>
      <c r="D87" s="14"/>
      <c r="E87" s="14"/>
      <c r="F87" s="15"/>
      <c r="G87" s="14"/>
    </row>
    <row r="88" ht="15.75" customHeight="1">
      <c r="A88" s="19"/>
      <c r="B88" s="14"/>
      <c r="C88" s="14"/>
      <c r="D88" s="14"/>
      <c r="E88" s="14"/>
      <c r="F88" s="15"/>
      <c r="G88" s="14"/>
    </row>
    <row r="89" ht="15.75" customHeight="1">
      <c r="A89" s="19"/>
      <c r="B89" s="14"/>
      <c r="C89" s="14"/>
      <c r="D89" s="14"/>
      <c r="E89" s="14"/>
      <c r="F89" s="15"/>
      <c r="G89" s="14"/>
    </row>
    <row r="90" ht="15.75" customHeight="1">
      <c r="A90" s="19"/>
      <c r="B90" s="14"/>
      <c r="C90" s="14"/>
      <c r="D90" s="14"/>
      <c r="E90" s="14"/>
      <c r="F90" s="15"/>
      <c r="G90" s="14"/>
    </row>
    <row r="91" ht="15.75" customHeight="1">
      <c r="A91" s="19"/>
      <c r="B91" s="14"/>
      <c r="C91" s="14"/>
      <c r="D91" s="14"/>
      <c r="E91" s="14"/>
      <c r="F91" s="15"/>
      <c r="G91" s="14"/>
    </row>
    <row r="92" ht="15.75" customHeight="1">
      <c r="A92" s="19"/>
      <c r="B92" s="14"/>
      <c r="C92" s="14"/>
      <c r="D92" s="14"/>
      <c r="E92" s="14"/>
      <c r="F92" s="15"/>
      <c r="G92" s="14"/>
    </row>
    <row r="93" ht="15.75" customHeight="1">
      <c r="A93" s="19"/>
      <c r="B93" s="14"/>
      <c r="C93" s="14"/>
      <c r="D93" s="14"/>
      <c r="E93" s="14"/>
      <c r="F93" s="15"/>
      <c r="G93" s="14"/>
    </row>
    <row r="94" ht="15.75" customHeight="1">
      <c r="A94" s="19"/>
      <c r="B94" s="14"/>
      <c r="C94" s="14"/>
      <c r="D94" s="14"/>
      <c r="E94" s="14"/>
      <c r="F94" s="15"/>
      <c r="G94" s="14"/>
    </row>
    <row r="95" ht="15.75" customHeight="1">
      <c r="A95" s="19"/>
      <c r="B95" s="14"/>
      <c r="C95" s="14"/>
      <c r="D95" s="14"/>
      <c r="E95" s="14"/>
      <c r="F95" s="15"/>
      <c r="G95" s="14"/>
    </row>
    <row r="96" ht="15.75" customHeight="1">
      <c r="A96" s="19"/>
      <c r="B96" s="14"/>
      <c r="C96" s="14"/>
      <c r="D96" s="14"/>
      <c r="E96" s="14"/>
      <c r="F96" s="15"/>
      <c r="G96" s="14"/>
    </row>
    <row r="97" ht="15.75" customHeight="1">
      <c r="A97" s="19"/>
      <c r="B97" s="14"/>
      <c r="C97" s="14"/>
      <c r="D97" s="14"/>
      <c r="E97" s="14"/>
      <c r="F97" s="15"/>
      <c r="G97" s="14"/>
    </row>
    <row r="98" ht="15.75" customHeight="1">
      <c r="A98" s="19"/>
      <c r="B98" s="14"/>
      <c r="C98" s="14"/>
      <c r="D98" s="14"/>
      <c r="E98" s="14"/>
      <c r="F98" s="15"/>
      <c r="G98" s="14"/>
    </row>
    <row r="99" ht="15.75" customHeight="1">
      <c r="A99" s="19"/>
      <c r="B99" s="14"/>
      <c r="C99" s="14"/>
      <c r="D99" s="14"/>
      <c r="E99" s="14"/>
      <c r="F99" s="15"/>
      <c r="G99" s="14"/>
    </row>
    <row r="100" ht="15.75" customHeight="1">
      <c r="A100" s="19"/>
      <c r="B100" s="14"/>
      <c r="C100" s="14"/>
      <c r="D100" s="14"/>
      <c r="E100" s="14"/>
      <c r="F100" s="15"/>
      <c r="G100" s="14"/>
    </row>
    <row r="101" ht="15.75" customHeight="1">
      <c r="A101" s="19"/>
      <c r="B101" s="14"/>
      <c r="C101" s="14"/>
      <c r="D101" s="14"/>
      <c r="E101" s="14"/>
      <c r="F101" s="15"/>
      <c r="G101" s="14"/>
    </row>
    <row r="102" ht="15.75" customHeight="1">
      <c r="A102" s="19"/>
      <c r="B102" s="14"/>
      <c r="C102" s="14"/>
      <c r="D102" s="14"/>
      <c r="E102" s="14"/>
      <c r="F102" s="15"/>
      <c r="G102" s="14"/>
    </row>
    <row r="103" ht="15.75" customHeight="1">
      <c r="A103" s="19"/>
      <c r="B103" s="14"/>
      <c r="C103" s="14"/>
      <c r="D103" s="14"/>
      <c r="E103" s="14"/>
      <c r="F103" s="15"/>
      <c r="G103" s="14"/>
    </row>
    <row r="104" ht="15.75" customHeight="1">
      <c r="A104" s="19"/>
      <c r="B104" s="14"/>
      <c r="C104" s="14"/>
      <c r="D104" s="14"/>
      <c r="E104" s="14"/>
      <c r="F104" s="15"/>
      <c r="G104" s="14"/>
    </row>
    <row r="105" ht="15.75" customHeight="1">
      <c r="A105" s="19"/>
      <c r="B105" s="14"/>
      <c r="C105" s="14"/>
      <c r="D105" s="14"/>
      <c r="E105" s="14"/>
      <c r="F105" s="15"/>
      <c r="G105" s="14"/>
    </row>
    <row r="106" ht="15.75" customHeight="1">
      <c r="A106" s="19"/>
      <c r="B106" s="14"/>
      <c r="C106" s="14"/>
      <c r="D106" s="14"/>
      <c r="E106" s="14"/>
      <c r="F106" s="15"/>
      <c r="G106" s="14"/>
    </row>
    <row r="107" ht="15.75" customHeight="1">
      <c r="A107" s="19"/>
      <c r="B107" s="14"/>
      <c r="C107" s="14"/>
      <c r="D107" s="14"/>
      <c r="E107" s="14"/>
      <c r="F107" s="15"/>
      <c r="G107" s="14"/>
    </row>
    <row r="108" ht="15.75" customHeight="1">
      <c r="A108" s="19"/>
      <c r="B108" s="14"/>
      <c r="C108" s="14"/>
      <c r="D108" s="14"/>
      <c r="E108" s="14"/>
      <c r="F108" s="15"/>
      <c r="G108" s="14"/>
    </row>
    <row r="109" ht="15.75" customHeight="1">
      <c r="A109" s="19"/>
      <c r="B109" s="14"/>
      <c r="C109" s="14"/>
      <c r="D109" s="14"/>
      <c r="E109" s="14"/>
      <c r="F109" s="15"/>
      <c r="G109" s="14"/>
    </row>
    <row r="110" ht="15.75" customHeight="1">
      <c r="A110" s="19"/>
      <c r="B110" s="14"/>
      <c r="C110" s="14"/>
      <c r="D110" s="14"/>
      <c r="E110" s="14"/>
      <c r="F110" s="15"/>
      <c r="G110" s="14"/>
    </row>
    <row r="111" ht="15.75" customHeight="1">
      <c r="A111" s="19"/>
      <c r="B111" s="14"/>
      <c r="C111" s="14"/>
      <c r="D111" s="14"/>
      <c r="E111" s="14"/>
      <c r="F111" s="15"/>
      <c r="G111" s="14"/>
    </row>
    <row r="112" ht="15.75" customHeight="1">
      <c r="A112" s="19"/>
      <c r="B112" s="14"/>
      <c r="C112" s="14"/>
      <c r="D112" s="14"/>
      <c r="E112" s="14"/>
      <c r="F112" s="15"/>
      <c r="G112" s="14"/>
    </row>
    <row r="113" ht="15.75" customHeight="1">
      <c r="A113" s="19"/>
      <c r="B113" s="14"/>
      <c r="C113" s="14"/>
      <c r="D113" s="14"/>
      <c r="E113" s="14"/>
      <c r="F113" s="15"/>
      <c r="G113" s="14"/>
    </row>
    <row r="114" ht="15.75" customHeight="1">
      <c r="A114" s="19"/>
      <c r="B114" s="14"/>
      <c r="C114" s="14"/>
      <c r="D114" s="14"/>
      <c r="E114" s="14"/>
      <c r="F114" s="15"/>
      <c r="G114" s="14"/>
    </row>
    <row r="115" ht="15.75" customHeight="1">
      <c r="A115" s="19"/>
      <c r="B115" s="14"/>
      <c r="C115" s="14"/>
      <c r="D115" s="14"/>
      <c r="E115" s="14"/>
      <c r="F115" s="15"/>
      <c r="G115" s="14"/>
    </row>
    <row r="116" ht="15.75" customHeight="1">
      <c r="A116" s="19"/>
      <c r="B116" s="14"/>
      <c r="C116" s="14"/>
      <c r="D116" s="14"/>
      <c r="E116" s="14"/>
      <c r="F116" s="15"/>
      <c r="G116" s="14"/>
    </row>
    <row r="117" ht="15.75" customHeight="1">
      <c r="A117" s="19"/>
      <c r="B117" s="14"/>
      <c r="C117" s="14"/>
      <c r="D117" s="14"/>
      <c r="E117" s="14"/>
      <c r="F117" s="15"/>
      <c r="G117" s="14"/>
    </row>
    <row r="118" ht="15.75" customHeight="1">
      <c r="A118" s="19"/>
      <c r="B118" s="14"/>
      <c r="C118" s="14"/>
      <c r="D118" s="14"/>
      <c r="E118" s="14"/>
      <c r="F118" s="15"/>
      <c r="G118" s="14"/>
    </row>
    <row r="119" ht="15.75" customHeight="1">
      <c r="A119" s="19"/>
      <c r="B119" s="14"/>
      <c r="C119" s="14"/>
      <c r="D119" s="14"/>
      <c r="E119" s="14"/>
      <c r="F119" s="15"/>
      <c r="G119" s="14"/>
    </row>
    <row r="120" ht="15.75" customHeight="1">
      <c r="A120" s="19"/>
      <c r="B120" s="14"/>
      <c r="C120" s="14"/>
      <c r="D120" s="14"/>
      <c r="E120" s="14"/>
      <c r="F120" s="15"/>
      <c r="G120" s="14"/>
    </row>
    <row r="121" ht="15.75" customHeight="1">
      <c r="A121" s="19"/>
      <c r="B121" s="14"/>
      <c r="C121" s="14"/>
      <c r="D121" s="14"/>
      <c r="E121" s="14"/>
      <c r="F121" s="15"/>
      <c r="G121" s="14"/>
    </row>
    <row r="122" ht="15.75" customHeight="1">
      <c r="A122" s="19"/>
      <c r="B122" s="14"/>
      <c r="C122" s="14"/>
      <c r="D122" s="14"/>
      <c r="E122" s="14"/>
      <c r="F122" s="15"/>
      <c r="G122" s="14"/>
    </row>
    <row r="123" ht="15.75" customHeight="1">
      <c r="A123" s="19"/>
      <c r="B123" s="14"/>
      <c r="C123" s="14"/>
      <c r="D123" s="14"/>
      <c r="E123" s="14"/>
      <c r="F123" s="15"/>
      <c r="G123" s="14"/>
    </row>
    <row r="124" ht="15.75" customHeight="1">
      <c r="A124" s="19"/>
      <c r="B124" s="14"/>
      <c r="C124" s="14"/>
      <c r="D124" s="14"/>
      <c r="E124" s="14"/>
      <c r="F124" s="15"/>
      <c r="G124" s="14"/>
    </row>
    <row r="125" ht="15.75" customHeight="1">
      <c r="A125" s="19"/>
      <c r="B125" s="14"/>
      <c r="C125" s="14"/>
      <c r="D125" s="14"/>
      <c r="E125" s="14"/>
      <c r="F125" s="15"/>
      <c r="G125" s="14"/>
    </row>
    <row r="126" ht="15.75" customHeight="1">
      <c r="A126" s="19"/>
      <c r="B126" s="14"/>
      <c r="C126" s="14"/>
      <c r="D126" s="14"/>
      <c r="E126" s="14"/>
      <c r="F126" s="15"/>
      <c r="G126" s="14"/>
    </row>
    <row r="127" ht="15.75" customHeight="1">
      <c r="A127" s="19"/>
      <c r="B127" s="14"/>
      <c r="C127" s="14"/>
      <c r="D127" s="14"/>
      <c r="E127" s="14"/>
      <c r="F127" s="15"/>
      <c r="G127" s="14"/>
    </row>
    <row r="128" ht="15.75" customHeight="1">
      <c r="A128" s="19"/>
      <c r="B128" s="14"/>
      <c r="C128" s="14"/>
      <c r="D128" s="14"/>
      <c r="E128" s="14"/>
      <c r="F128" s="15"/>
      <c r="G128" s="14"/>
    </row>
    <row r="129" ht="15.75" customHeight="1">
      <c r="A129" s="19"/>
      <c r="B129" s="14"/>
      <c r="C129" s="14"/>
      <c r="D129" s="14"/>
      <c r="E129" s="14"/>
      <c r="F129" s="15"/>
      <c r="G129" s="14"/>
    </row>
    <row r="130" ht="15.75" customHeight="1">
      <c r="A130" s="19"/>
      <c r="B130" s="14"/>
      <c r="C130" s="14"/>
      <c r="D130" s="14"/>
      <c r="E130" s="14"/>
      <c r="F130" s="15"/>
      <c r="G130" s="14"/>
    </row>
    <row r="131" ht="15.75" customHeight="1">
      <c r="A131" s="19"/>
      <c r="B131" s="14"/>
      <c r="C131" s="14"/>
      <c r="D131" s="14"/>
      <c r="E131" s="14"/>
      <c r="F131" s="15"/>
      <c r="G131" s="14"/>
    </row>
    <row r="132" ht="15.75" customHeight="1">
      <c r="A132" s="19"/>
      <c r="B132" s="14"/>
      <c r="C132" s="14"/>
      <c r="D132" s="14"/>
      <c r="E132" s="14"/>
      <c r="F132" s="15"/>
      <c r="G132" s="14"/>
    </row>
    <row r="133" ht="15.75" customHeight="1">
      <c r="A133" s="19"/>
      <c r="B133" s="14"/>
      <c r="C133" s="14"/>
      <c r="D133" s="14"/>
      <c r="E133" s="14"/>
      <c r="F133" s="15"/>
      <c r="G133" s="14"/>
    </row>
    <row r="134" ht="15.75" customHeight="1">
      <c r="A134" s="19"/>
      <c r="B134" s="14"/>
      <c r="C134" s="14"/>
      <c r="D134" s="14"/>
      <c r="E134" s="14"/>
      <c r="F134" s="15"/>
      <c r="G134" s="14"/>
    </row>
    <row r="135" ht="15.75" customHeight="1">
      <c r="A135" s="19"/>
      <c r="B135" s="14"/>
      <c r="C135" s="14"/>
      <c r="D135" s="14"/>
      <c r="E135" s="14"/>
      <c r="F135" s="15"/>
      <c r="G135" s="14"/>
    </row>
    <row r="136" ht="15.75" customHeight="1">
      <c r="A136" s="19"/>
      <c r="B136" s="14"/>
      <c r="C136" s="14"/>
      <c r="D136" s="14"/>
      <c r="E136" s="14"/>
      <c r="F136" s="15"/>
      <c r="G136" s="14"/>
    </row>
    <row r="137" ht="15.75" customHeight="1">
      <c r="A137" s="19"/>
      <c r="B137" s="14"/>
      <c r="C137" s="14"/>
      <c r="D137" s="14"/>
      <c r="E137" s="14"/>
      <c r="F137" s="15"/>
      <c r="G137" s="14"/>
    </row>
    <row r="138" ht="15.75" customHeight="1">
      <c r="A138" s="19"/>
      <c r="B138" s="14"/>
      <c r="C138" s="14"/>
      <c r="D138" s="14"/>
      <c r="E138" s="14"/>
      <c r="F138" s="15"/>
      <c r="G138" s="14"/>
    </row>
    <row r="139" ht="15.75" customHeight="1">
      <c r="A139" s="19"/>
      <c r="B139" s="14"/>
      <c r="C139" s="14"/>
      <c r="D139" s="14"/>
      <c r="E139" s="14"/>
      <c r="F139" s="15"/>
      <c r="G139" s="14"/>
    </row>
    <row r="140" ht="15.75" customHeight="1">
      <c r="A140" s="19"/>
      <c r="B140" s="14"/>
      <c r="C140" s="14"/>
      <c r="D140" s="14"/>
      <c r="E140" s="14"/>
      <c r="F140" s="15"/>
      <c r="G140" s="14"/>
    </row>
    <row r="141" ht="15.75" customHeight="1">
      <c r="A141" s="19"/>
      <c r="B141" s="14"/>
      <c r="C141" s="14"/>
      <c r="D141" s="14"/>
      <c r="E141" s="14"/>
      <c r="F141" s="15"/>
      <c r="G141" s="14"/>
    </row>
    <row r="142" ht="15.75" customHeight="1">
      <c r="A142" s="19"/>
      <c r="B142" s="14"/>
      <c r="C142" s="14"/>
      <c r="D142" s="14"/>
      <c r="E142" s="14"/>
      <c r="F142" s="15"/>
      <c r="G142" s="14"/>
    </row>
    <row r="143" ht="15.75" customHeight="1">
      <c r="A143" s="19"/>
      <c r="B143" s="14"/>
      <c r="C143" s="14"/>
      <c r="D143" s="14"/>
      <c r="E143" s="14"/>
      <c r="F143" s="15"/>
      <c r="G143" s="14"/>
    </row>
    <row r="144" ht="15.75" customHeight="1">
      <c r="A144" s="19"/>
      <c r="B144" s="14"/>
      <c r="C144" s="14"/>
      <c r="D144" s="14"/>
      <c r="E144" s="14"/>
      <c r="F144" s="15"/>
      <c r="G144" s="14"/>
    </row>
    <row r="145" ht="15.75" customHeight="1">
      <c r="A145" s="19"/>
      <c r="B145" s="14"/>
      <c r="C145" s="14"/>
      <c r="D145" s="14"/>
      <c r="E145" s="14"/>
      <c r="F145" s="15"/>
      <c r="G145" s="14"/>
    </row>
    <row r="146" ht="15.75" customHeight="1">
      <c r="A146" s="19"/>
      <c r="B146" s="14"/>
      <c r="C146" s="14"/>
      <c r="D146" s="14"/>
      <c r="E146" s="14"/>
      <c r="F146" s="15"/>
      <c r="G146" s="14"/>
    </row>
    <row r="147" ht="15.75" customHeight="1">
      <c r="A147" s="19"/>
      <c r="B147" s="14"/>
      <c r="C147" s="14"/>
      <c r="D147" s="14"/>
      <c r="E147" s="14"/>
      <c r="F147" s="15"/>
      <c r="G147" s="14"/>
    </row>
    <row r="148" ht="15.75" customHeight="1">
      <c r="A148" s="19"/>
      <c r="B148" s="14"/>
      <c r="C148" s="14"/>
      <c r="D148" s="14"/>
      <c r="E148" s="14"/>
      <c r="F148" s="15"/>
      <c r="G148" s="14"/>
    </row>
    <row r="149" ht="15.75" customHeight="1">
      <c r="A149" s="19"/>
      <c r="B149" s="14"/>
      <c r="C149" s="14"/>
      <c r="D149" s="14"/>
      <c r="E149" s="14"/>
      <c r="F149" s="15"/>
      <c r="G149" s="14"/>
    </row>
    <row r="150" ht="15.75" customHeight="1">
      <c r="A150" s="19"/>
      <c r="B150" s="14"/>
      <c r="C150" s="14"/>
      <c r="D150" s="14"/>
      <c r="E150" s="14"/>
      <c r="F150" s="15"/>
      <c r="G150" s="14"/>
    </row>
    <row r="151" ht="15.75" customHeight="1">
      <c r="A151" s="19"/>
      <c r="B151" s="14"/>
      <c r="C151" s="14"/>
      <c r="D151" s="14"/>
      <c r="E151" s="14"/>
      <c r="F151" s="15"/>
      <c r="G151" s="14"/>
    </row>
    <row r="152" ht="15.75" customHeight="1">
      <c r="A152" s="19"/>
      <c r="B152" s="14"/>
      <c r="C152" s="14"/>
      <c r="D152" s="14"/>
      <c r="E152" s="14"/>
      <c r="F152" s="15"/>
      <c r="G152" s="14"/>
    </row>
    <row r="153" ht="15.75" customHeight="1">
      <c r="A153" s="19"/>
      <c r="B153" s="14"/>
      <c r="C153" s="14"/>
      <c r="D153" s="14"/>
      <c r="E153" s="14"/>
      <c r="F153" s="15"/>
      <c r="G153" s="14"/>
    </row>
    <row r="154" ht="15.75" customHeight="1">
      <c r="A154" s="19"/>
      <c r="B154" s="14"/>
      <c r="C154" s="14"/>
      <c r="D154" s="14"/>
      <c r="E154" s="14"/>
      <c r="F154" s="15"/>
      <c r="G154" s="14"/>
    </row>
    <row r="155" ht="15.75" customHeight="1">
      <c r="A155" s="19"/>
      <c r="B155" s="14"/>
      <c r="C155" s="14"/>
      <c r="D155" s="14"/>
      <c r="E155" s="14"/>
      <c r="F155" s="15"/>
      <c r="G155" s="14"/>
    </row>
    <row r="156" ht="15.75" customHeight="1">
      <c r="A156" s="19"/>
      <c r="B156" s="14"/>
      <c r="C156" s="14"/>
      <c r="D156" s="14"/>
      <c r="E156" s="14"/>
      <c r="F156" s="15"/>
      <c r="G156" s="14"/>
    </row>
    <row r="157" ht="15.75" customHeight="1">
      <c r="A157" s="19"/>
      <c r="B157" s="14"/>
      <c r="C157" s="14"/>
      <c r="D157" s="14"/>
      <c r="E157" s="14"/>
      <c r="F157" s="15"/>
      <c r="G157" s="14"/>
    </row>
    <row r="158" ht="15.75" customHeight="1">
      <c r="A158" s="19"/>
      <c r="B158" s="14"/>
      <c r="C158" s="14"/>
      <c r="D158" s="14"/>
      <c r="E158" s="14"/>
      <c r="F158" s="15"/>
      <c r="G158" s="14"/>
    </row>
    <row r="159" ht="15.75" customHeight="1">
      <c r="A159" s="19"/>
      <c r="B159" s="14"/>
      <c r="C159" s="14"/>
      <c r="D159" s="14"/>
      <c r="E159" s="14"/>
      <c r="F159" s="15"/>
      <c r="G159" s="14"/>
    </row>
    <row r="160" ht="15.75" customHeight="1">
      <c r="A160" s="19"/>
      <c r="B160" s="14"/>
      <c r="C160" s="14"/>
      <c r="D160" s="14"/>
      <c r="E160" s="14"/>
      <c r="F160" s="15"/>
      <c r="G160" s="14"/>
    </row>
    <row r="161" ht="15.75" customHeight="1">
      <c r="A161" s="19"/>
      <c r="B161" s="14"/>
      <c r="C161" s="14"/>
      <c r="D161" s="14"/>
      <c r="E161" s="14"/>
      <c r="F161" s="15"/>
      <c r="G161" s="14"/>
    </row>
    <row r="162" ht="15.75" customHeight="1">
      <c r="A162" s="19"/>
      <c r="B162" s="14"/>
      <c r="C162" s="14"/>
      <c r="D162" s="14"/>
      <c r="E162" s="14"/>
      <c r="F162" s="15"/>
      <c r="G162" s="14"/>
    </row>
    <row r="163" ht="15.75" customHeight="1">
      <c r="A163" s="19"/>
      <c r="B163" s="14"/>
      <c r="C163" s="14"/>
      <c r="D163" s="14"/>
      <c r="E163" s="14"/>
      <c r="F163" s="15"/>
      <c r="G163" s="14"/>
    </row>
    <row r="164" ht="15.75" customHeight="1">
      <c r="A164" s="19"/>
      <c r="B164" s="14"/>
      <c r="C164" s="14"/>
      <c r="D164" s="14"/>
      <c r="E164" s="14"/>
      <c r="F164" s="15"/>
      <c r="G164" s="14"/>
    </row>
    <row r="165" ht="15.75" customHeight="1">
      <c r="A165" s="19"/>
      <c r="B165" s="14"/>
      <c r="C165" s="14"/>
      <c r="D165" s="14"/>
      <c r="E165" s="14"/>
      <c r="F165" s="15"/>
      <c r="G165" s="14"/>
    </row>
    <row r="166" ht="15.75" customHeight="1">
      <c r="A166" s="19"/>
      <c r="B166" s="14"/>
    </row>
    <row r="167" ht="15.75" customHeight="1">
      <c r="A167" s="19"/>
      <c r="B167" s="14"/>
      <c r="C167" s="14"/>
      <c r="D167" s="14"/>
      <c r="E167" s="14"/>
      <c r="F167" s="15"/>
      <c r="G167" s="14"/>
    </row>
    <row r="168" ht="15.75" customHeight="1">
      <c r="A168" s="19"/>
      <c r="B168" s="14"/>
      <c r="C168" s="14"/>
      <c r="D168" s="14"/>
      <c r="E168" s="14"/>
      <c r="F168" s="15"/>
      <c r="G168" s="14"/>
    </row>
    <row r="169" ht="15.75" customHeight="1">
      <c r="A169" s="19"/>
      <c r="B169" s="14"/>
      <c r="C169" s="14"/>
      <c r="D169" s="14"/>
      <c r="E169" s="14"/>
      <c r="F169" s="15"/>
      <c r="G169" s="14"/>
    </row>
    <row r="170" ht="15.75" customHeight="1">
      <c r="A170" s="19"/>
      <c r="B170" s="14"/>
      <c r="C170" s="14"/>
      <c r="D170" s="14"/>
      <c r="E170" s="14"/>
      <c r="F170" s="15"/>
      <c r="G170" s="14"/>
    </row>
    <row r="171" ht="15.75" customHeight="1">
      <c r="A171" s="19"/>
      <c r="B171" s="14"/>
      <c r="C171" s="14"/>
      <c r="D171" s="14"/>
      <c r="E171" s="14"/>
      <c r="F171" s="15"/>
      <c r="G171" s="14"/>
    </row>
    <row r="172" ht="15.75" customHeight="1">
      <c r="A172" s="19"/>
      <c r="B172" s="14"/>
      <c r="C172" s="14"/>
      <c r="D172" s="14"/>
      <c r="E172" s="14"/>
      <c r="F172" s="15"/>
      <c r="G172" s="14"/>
    </row>
    <row r="173" ht="15.75" customHeight="1">
      <c r="A173" s="19"/>
      <c r="B173" s="14"/>
      <c r="C173" s="14"/>
      <c r="D173" s="14"/>
      <c r="E173" s="14"/>
      <c r="F173" s="15"/>
      <c r="G173" s="14"/>
    </row>
    <row r="174" ht="15.75" customHeight="1">
      <c r="A174" s="19"/>
      <c r="B174" s="14"/>
      <c r="C174" s="14"/>
      <c r="D174" s="14"/>
      <c r="E174" s="14"/>
      <c r="F174" s="15"/>
      <c r="G174" s="14"/>
    </row>
    <row r="175" ht="15.75" customHeight="1">
      <c r="A175" s="19"/>
      <c r="B175" s="14"/>
      <c r="C175" s="14"/>
      <c r="D175" s="14"/>
      <c r="E175" s="14"/>
      <c r="F175" s="15"/>
      <c r="G175" s="14"/>
    </row>
    <row r="176" ht="15.75" customHeight="1">
      <c r="A176" s="19"/>
      <c r="B176" s="14"/>
      <c r="C176" s="14"/>
      <c r="D176" s="14"/>
      <c r="E176" s="14"/>
      <c r="F176" s="15"/>
      <c r="G176" s="14"/>
    </row>
    <row r="177" ht="15.75" customHeight="1">
      <c r="A177" s="19"/>
      <c r="B177" s="14"/>
      <c r="C177" s="14"/>
      <c r="D177" s="14"/>
      <c r="E177" s="14"/>
      <c r="F177" s="15"/>
      <c r="G177" s="14"/>
    </row>
    <row r="178" ht="15.75" customHeight="1">
      <c r="A178" s="19"/>
      <c r="B178" s="14"/>
      <c r="C178" s="14"/>
      <c r="D178" s="14"/>
      <c r="E178" s="14"/>
      <c r="F178" s="15"/>
      <c r="G178" s="14"/>
    </row>
    <row r="179" ht="15.75" customHeight="1">
      <c r="A179" s="19"/>
      <c r="B179" s="14"/>
      <c r="C179" s="14"/>
      <c r="D179" s="14"/>
      <c r="E179" s="14"/>
      <c r="F179" s="15"/>
      <c r="G179" s="14"/>
    </row>
    <row r="180" ht="15.75" customHeight="1">
      <c r="A180" s="19"/>
      <c r="B180" s="14"/>
      <c r="C180" s="14"/>
      <c r="D180" s="14"/>
      <c r="E180" s="14"/>
      <c r="F180" s="15"/>
      <c r="G180" s="14"/>
    </row>
    <row r="181" ht="15.75" customHeight="1">
      <c r="A181" s="19"/>
      <c r="B181" s="14"/>
      <c r="C181" s="14"/>
      <c r="D181" s="14"/>
      <c r="E181" s="14"/>
      <c r="F181" s="15"/>
      <c r="G181" s="14"/>
    </row>
    <row r="182" ht="15.75" customHeight="1">
      <c r="A182" s="19"/>
      <c r="B182" s="14"/>
      <c r="C182" s="14"/>
      <c r="D182" s="14"/>
      <c r="E182" s="14"/>
      <c r="F182" s="15"/>
      <c r="G182" s="14"/>
    </row>
    <row r="183" ht="15.75" customHeight="1">
      <c r="A183" s="19"/>
      <c r="B183" s="14"/>
      <c r="C183" s="14"/>
      <c r="D183" s="14"/>
      <c r="E183" s="14"/>
      <c r="F183" s="15"/>
      <c r="G183" s="14"/>
    </row>
    <row r="184" ht="15.75" customHeight="1">
      <c r="A184" s="19"/>
      <c r="B184" s="14"/>
      <c r="C184" s="14"/>
      <c r="D184" s="14"/>
      <c r="E184" s="14"/>
      <c r="F184" s="15"/>
      <c r="G184" s="14"/>
    </row>
    <row r="185" ht="15.75" customHeight="1">
      <c r="A185" s="19"/>
      <c r="B185" s="14"/>
      <c r="C185" s="14"/>
      <c r="D185" s="14"/>
      <c r="E185" s="14"/>
      <c r="F185" s="15"/>
      <c r="G185" s="14"/>
    </row>
    <row r="186" ht="15.75" customHeight="1">
      <c r="A186" s="19"/>
      <c r="B186" s="14"/>
      <c r="C186" s="14"/>
      <c r="D186" s="14"/>
      <c r="E186" s="14"/>
      <c r="F186" s="15"/>
      <c r="G186" s="14"/>
    </row>
    <row r="187" ht="15.75" customHeight="1">
      <c r="A187" s="19"/>
      <c r="B187" s="14"/>
      <c r="C187" s="14"/>
      <c r="D187" s="14"/>
      <c r="E187" s="14"/>
      <c r="F187" s="15"/>
      <c r="G187" s="14"/>
    </row>
    <row r="188" ht="15.75" customHeight="1">
      <c r="A188" s="19"/>
      <c r="B188" s="14"/>
      <c r="C188" s="14"/>
      <c r="D188" s="14"/>
      <c r="E188" s="14"/>
      <c r="F188" s="15"/>
      <c r="G188" s="14"/>
    </row>
    <row r="189" ht="15.75" customHeight="1">
      <c r="A189" s="19"/>
      <c r="B189" s="14"/>
      <c r="C189" s="14"/>
      <c r="D189" s="14"/>
      <c r="E189" s="14"/>
      <c r="F189" s="15"/>
      <c r="G189" s="14"/>
    </row>
    <row r="190" ht="15.75" customHeight="1">
      <c r="A190" s="19"/>
      <c r="B190" s="14"/>
      <c r="C190" s="14"/>
      <c r="D190" s="14"/>
      <c r="E190" s="14"/>
      <c r="F190" s="15"/>
      <c r="G190" s="14"/>
    </row>
    <row r="191" ht="15.75" customHeight="1">
      <c r="A191" s="19"/>
      <c r="B191" s="14"/>
      <c r="C191" s="14"/>
      <c r="D191" s="14"/>
      <c r="E191" s="14"/>
      <c r="F191" s="15"/>
      <c r="G191" s="14"/>
    </row>
    <row r="192" ht="15.75" customHeight="1">
      <c r="A192" s="19"/>
      <c r="B192" s="14"/>
      <c r="C192" s="14"/>
      <c r="D192" s="14"/>
      <c r="E192" s="14"/>
      <c r="F192" s="15"/>
      <c r="G192" s="14"/>
    </row>
    <row r="193" ht="15.75" customHeight="1">
      <c r="A193" s="19"/>
      <c r="B193" s="14"/>
      <c r="C193" s="14"/>
      <c r="D193" s="14"/>
      <c r="E193" s="14"/>
      <c r="F193" s="15"/>
      <c r="G193" s="14"/>
    </row>
    <row r="194" ht="15.75" customHeight="1">
      <c r="A194" s="19"/>
      <c r="B194" s="14"/>
      <c r="C194" s="14"/>
      <c r="D194" s="14"/>
      <c r="E194" s="14"/>
      <c r="F194" s="15"/>
      <c r="G194" s="14"/>
    </row>
    <row r="195" ht="15.75" customHeight="1">
      <c r="A195" s="19"/>
      <c r="B195" s="14"/>
      <c r="C195" s="14"/>
      <c r="D195" s="14"/>
      <c r="E195" s="14"/>
      <c r="F195" s="15"/>
      <c r="G195" s="14"/>
    </row>
    <row r="196" ht="15.75" customHeight="1">
      <c r="A196" s="19"/>
      <c r="B196" s="14"/>
      <c r="C196" s="14"/>
      <c r="D196" s="14"/>
      <c r="E196" s="14"/>
      <c r="F196" s="15"/>
      <c r="G196" s="14"/>
    </row>
    <row r="197" ht="15.75" customHeight="1">
      <c r="A197" s="19"/>
      <c r="B197" s="14"/>
      <c r="C197" s="14"/>
      <c r="D197" s="14"/>
      <c r="E197" s="14"/>
      <c r="F197" s="15"/>
      <c r="G197" s="14"/>
    </row>
    <row r="198" ht="15.75" customHeight="1">
      <c r="A198" s="19"/>
      <c r="B198" s="14"/>
      <c r="C198" s="14"/>
      <c r="D198" s="14"/>
      <c r="E198" s="14"/>
      <c r="F198" s="15"/>
      <c r="G198" s="14"/>
    </row>
    <row r="199" ht="15.75" customHeight="1">
      <c r="A199" s="19"/>
      <c r="B199" s="14"/>
      <c r="C199" s="14"/>
      <c r="D199" s="14"/>
      <c r="E199" s="14"/>
      <c r="F199" s="15"/>
      <c r="G199" s="14"/>
    </row>
    <row r="200" ht="15.75" customHeight="1">
      <c r="A200" s="19"/>
      <c r="B200" s="14"/>
      <c r="C200" s="14"/>
      <c r="D200" s="14"/>
      <c r="E200" s="14"/>
      <c r="F200" s="15"/>
      <c r="G200" s="14"/>
    </row>
    <row r="201" ht="15.75" customHeight="1">
      <c r="A201" s="19"/>
      <c r="B201" s="14"/>
      <c r="C201" s="14"/>
      <c r="D201" s="14"/>
      <c r="E201" s="14"/>
      <c r="F201" s="15"/>
      <c r="G201" s="14"/>
    </row>
    <row r="202" ht="15.75" customHeight="1">
      <c r="A202" s="19"/>
      <c r="B202" s="14"/>
      <c r="C202" s="14"/>
      <c r="D202" s="14"/>
      <c r="E202" s="14"/>
      <c r="F202" s="15"/>
      <c r="G202" s="14"/>
    </row>
    <row r="203" ht="15.75" customHeight="1">
      <c r="A203" s="19"/>
      <c r="B203" s="14"/>
      <c r="C203" s="14"/>
      <c r="D203" s="14"/>
      <c r="E203" s="14"/>
      <c r="F203" s="15"/>
      <c r="G203" s="14"/>
    </row>
    <row r="204" ht="15.75" customHeight="1">
      <c r="A204" s="19"/>
      <c r="B204" s="14"/>
      <c r="C204" s="14"/>
      <c r="D204" s="14"/>
      <c r="E204" s="14"/>
      <c r="F204" s="15"/>
      <c r="G204" s="14"/>
    </row>
    <row r="205" ht="15.75" customHeight="1">
      <c r="A205" s="19"/>
      <c r="B205" s="14"/>
      <c r="C205" s="14"/>
      <c r="D205" s="14"/>
      <c r="E205" s="14"/>
      <c r="F205" s="15"/>
      <c r="G205" s="14"/>
    </row>
    <row r="206" ht="15.75" customHeight="1">
      <c r="A206" s="19"/>
      <c r="B206" s="14"/>
      <c r="C206" s="14"/>
      <c r="D206" s="14"/>
      <c r="E206" s="14"/>
      <c r="F206" s="15"/>
      <c r="G206" s="14"/>
    </row>
    <row r="207" ht="15.75" customHeight="1">
      <c r="A207" s="19"/>
      <c r="B207" s="14"/>
      <c r="C207" s="14"/>
      <c r="D207" s="14"/>
      <c r="E207" s="14"/>
      <c r="F207" s="15"/>
      <c r="G207" s="14"/>
    </row>
    <row r="208" ht="15.75" customHeight="1">
      <c r="A208" s="19"/>
      <c r="B208" s="14"/>
      <c r="C208" s="14"/>
      <c r="D208" s="14"/>
      <c r="E208" s="14"/>
      <c r="F208" s="15"/>
      <c r="G208" s="14"/>
    </row>
    <row r="209" ht="15.75" customHeight="1">
      <c r="A209" s="19"/>
      <c r="B209" s="14"/>
      <c r="C209" s="14"/>
      <c r="D209" s="14"/>
      <c r="E209" s="14"/>
      <c r="F209" s="15"/>
      <c r="G209" s="14"/>
    </row>
    <row r="210" ht="15.75" customHeight="1">
      <c r="A210" s="19"/>
      <c r="B210" s="14"/>
      <c r="C210" s="14"/>
      <c r="D210" s="14"/>
      <c r="E210" s="14"/>
      <c r="F210" s="15"/>
      <c r="G210" s="14"/>
    </row>
    <row r="211" ht="15.75" customHeight="1">
      <c r="A211" s="19"/>
      <c r="B211" s="14"/>
      <c r="C211" s="14"/>
      <c r="D211" s="14"/>
      <c r="E211" s="14"/>
      <c r="F211" s="15"/>
      <c r="G211" s="14"/>
    </row>
    <row r="212" ht="15.75" customHeight="1">
      <c r="A212" s="19"/>
      <c r="B212" s="14"/>
      <c r="C212" s="14"/>
      <c r="D212" s="14"/>
      <c r="E212" s="14"/>
      <c r="F212" s="15"/>
      <c r="G212" s="14"/>
    </row>
    <row r="213" ht="15.75" customHeight="1">
      <c r="A213" s="19"/>
      <c r="B213" s="14"/>
      <c r="C213" s="14"/>
      <c r="D213" s="14"/>
      <c r="E213" s="14"/>
      <c r="F213" s="15"/>
      <c r="G213" s="14"/>
    </row>
    <row r="214" ht="15.75" customHeight="1">
      <c r="A214" s="19"/>
      <c r="B214" s="14"/>
      <c r="C214" s="14"/>
      <c r="D214" s="14"/>
      <c r="E214" s="14"/>
      <c r="F214" s="15"/>
      <c r="G214" s="14"/>
    </row>
    <row r="215" ht="15.75" customHeight="1">
      <c r="A215" s="19"/>
      <c r="B215" s="14"/>
      <c r="C215" s="14"/>
      <c r="D215" s="14"/>
      <c r="E215" s="14"/>
      <c r="F215" s="15"/>
      <c r="G215" s="14"/>
    </row>
    <row r="216" ht="15.75" customHeight="1">
      <c r="A216" s="19"/>
      <c r="B216" s="14"/>
      <c r="C216" s="14"/>
      <c r="D216" s="14"/>
      <c r="E216" s="14"/>
      <c r="F216" s="15"/>
      <c r="G216" s="14"/>
    </row>
    <row r="217" ht="15.75" customHeight="1">
      <c r="A217" s="19"/>
      <c r="B217" s="14"/>
      <c r="C217" s="14"/>
      <c r="D217" s="14"/>
      <c r="E217" s="14"/>
      <c r="F217" s="15"/>
      <c r="G217" s="14"/>
    </row>
    <row r="218" ht="15.75" customHeight="1">
      <c r="A218" s="19"/>
      <c r="B218" s="14"/>
      <c r="C218" s="14"/>
      <c r="D218" s="14"/>
      <c r="E218" s="14"/>
      <c r="F218" s="15"/>
      <c r="G218" s="14"/>
    </row>
    <row r="219" ht="15.75" customHeight="1">
      <c r="A219" s="19"/>
      <c r="B219" s="14"/>
      <c r="C219" s="14"/>
      <c r="D219" s="14"/>
      <c r="E219" s="14"/>
      <c r="F219" s="15"/>
      <c r="G219" s="14"/>
    </row>
    <row r="220" ht="15.75" customHeight="1">
      <c r="A220" s="19"/>
      <c r="B220" s="14"/>
      <c r="C220" s="14"/>
      <c r="D220" s="14"/>
      <c r="E220" s="14"/>
      <c r="F220" s="15"/>
      <c r="G220" s="14"/>
    </row>
    <row r="221" ht="15.75" customHeight="1">
      <c r="A221" s="19"/>
      <c r="B221" s="14"/>
      <c r="C221" s="14"/>
      <c r="D221" s="14"/>
      <c r="E221" s="14"/>
      <c r="F221" s="15"/>
      <c r="G221" s="14"/>
    </row>
    <row r="222" ht="15.75" customHeight="1">
      <c r="A222" s="19"/>
      <c r="B222" s="14"/>
      <c r="C222" s="14"/>
      <c r="D222" s="14"/>
      <c r="E222" s="14"/>
      <c r="F222" s="15"/>
      <c r="G222" s="14"/>
    </row>
    <row r="223" ht="15.75" customHeight="1">
      <c r="A223" s="19"/>
      <c r="B223" s="14"/>
      <c r="C223" s="14"/>
      <c r="D223" s="14"/>
      <c r="E223" s="14"/>
      <c r="F223" s="15"/>
      <c r="G223" s="14"/>
    </row>
    <row r="224" ht="15.75" customHeight="1">
      <c r="A224" s="19"/>
      <c r="B224" s="14"/>
      <c r="C224" s="14"/>
      <c r="D224" s="14"/>
      <c r="E224" s="14"/>
      <c r="F224" s="15"/>
      <c r="G224" s="14"/>
    </row>
    <row r="225" ht="15.75" customHeight="1">
      <c r="A225" s="19"/>
      <c r="B225" s="14"/>
      <c r="C225" s="14"/>
      <c r="D225" s="14"/>
      <c r="E225" s="14"/>
      <c r="F225" s="15"/>
      <c r="G225" s="14"/>
    </row>
    <row r="226" ht="15.75" customHeight="1">
      <c r="A226" s="19"/>
      <c r="B226" s="14"/>
      <c r="C226" s="14"/>
      <c r="D226" s="14"/>
      <c r="E226" s="14"/>
      <c r="F226" s="15"/>
      <c r="G226" s="14"/>
    </row>
    <row r="227" ht="15.75" customHeight="1">
      <c r="A227" s="19"/>
      <c r="B227" s="14"/>
      <c r="C227" s="14"/>
      <c r="D227" s="14"/>
      <c r="E227" s="14"/>
      <c r="F227" s="15"/>
      <c r="G227" s="14"/>
    </row>
    <row r="228" ht="15.75" customHeight="1">
      <c r="A228" s="19"/>
      <c r="B228" s="14"/>
      <c r="C228" s="14"/>
      <c r="D228" s="14"/>
      <c r="E228" s="14"/>
      <c r="F228" s="15"/>
      <c r="G228" s="14"/>
    </row>
    <row r="229" ht="15.75" customHeight="1">
      <c r="A229" s="19"/>
      <c r="B229" s="14"/>
      <c r="C229" s="14"/>
      <c r="D229" s="14"/>
      <c r="E229" s="14"/>
      <c r="F229" s="15"/>
      <c r="G229" s="14"/>
    </row>
    <row r="230" ht="15.75" customHeight="1">
      <c r="A230" s="19"/>
      <c r="B230" s="14"/>
      <c r="C230" s="14"/>
      <c r="D230" s="14"/>
      <c r="E230" s="14"/>
      <c r="F230" s="15"/>
      <c r="G230" s="14"/>
    </row>
    <row r="231" ht="15.75" customHeight="1">
      <c r="A231" s="19"/>
      <c r="B231" s="14"/>
      <c r="C231" s="14"/>
      <c r="D231" s="14"/>
      <c r="E231" s="14"/>
      <c r="F231" s="15"/>
      <c r="G231" s="14"/>
    </row>
    <row r="232" ht="15.75" customHeight="1">
      <c r="A232" s="19"/>
      <c r="B232" s="14"/>
      <c r="C232" s="14"/>
      <c r="D232" s="14"/>
      <c r="E232" s="14"/>
      <c r="F232" s="15"/>
      <c r="G232" s="14"/>
    </row>
    <row r="233" ht="15.75" customHeight="1">
      <c r="A233" s="19"/>
      <c r="B233" s="14"/>
      <c r="C233" s="14"/>
      <c r="D233" s="14"/>
      <c r="E233" s="14"/>
      <c r="F233" s="15"/>
      <c r="G233" s="14"/>
    </row>
    <row r="234" ht="15.75" customHeight="1">
      <c r="A234" s="19"/>
      <c r="B234" s="14"/>
      <c r="C234" s="14"/>
      <c r="D234" s="14"/>
      <c r="E234" s="14"/>
      <c r="F234" s="15"/>
      <c r="G234" s="14"/>
    </row>
    <row r="235" ht="15.75" customHeight="1">
      <c r="A235" s="19"/>
      <c r="B235" s="14"/>
      <c r="C235" s="14"/>
      <c r="D235" s="14"/>
      <c r="E235" s="14"/>
      <c r="F235" s="15"/>
      <c r="G235" s="14"/>
    </row>
    <row r="236" ht="15.75" customHeight="1">
      <c r="A236" s="19"/>
      <c r="B236" s="14"/>
      <c r="C236" s="14"/>
      <c r="D236" s="14"/>
      <c r="E236" s="14"/>
      <c r="F236" s="15"/>
      <c r="G236" s="14"/>
    </row>
    <row r="237" ht="15.75" customHeight="1">
      <c r="A237" s="19"/>
      <c r="B237" s="14"/>
      <c r="C237" s="14"/>
      <c r="D237" s="14"/>
      <c r="E237" s="14"/>
      <c r="F237" s="15"/>
      <c r="G237" s="14"/>
    </row>
    <row r="238" ht="15.75" customHeight="1">
      <c r="A238" s="19"/>
      <c r="B238" s="14"/>
      <c r="C238" s="14"/>
      <c r="D238" s="14"/>
      <c r="E238" s="14"/>
      <c r="F238" s="15"/>
      <c r="G238" s="14"/>
    </row>
    <row r="239" ht="15.75" customHeight="1">
      <c r="A239" s="19"/>
      <c r="B239" s="14"/>
      <c r="C239" s="14"/>
      <c r="D239" s="14"/>
      <c r="E239" s="14"/>
      <c r="F239" s="15"/>
      <c r="G239" s="14"/>
    </row>
    <row r="240" ht="15.75" customHeight="1">
      <c r="A240" s="19"/>
      <c r="B240" s="14"/>
      <c r="C240" s="14"/>
      <c r="D240" s="14"/>
      <c r="E240" s="14"/>
      <c r="F240" s="15"/>
      <c r="G240" s="14"/>
    </row>
    <row r="241" ht="15.75" customHeight="1">
      <c r="A241" s="19"/>
      <c r="B241" s="14"/>
      <c r="C241" s="14"/>
      <c r="D241" s="14"/>
      <c r="E241" s="14"/>
      <c r="F241" s="15"/>
      <c r="G241" s="14"/>
    </row>
    <row r="242" ht="15.75" customHeight="1">
      <c r="A242" s="19"/>
      <c r="B242" s="14"/>
      <c r="C242" s="14"/>
      <c r="D242" s="14"/>
      <c r="E242" s="14"/>
      <c r="F242" s="15"/>
      <c r="G242" s="14"/>
    </row>
    <row r="243" ht="15.75" customHeight="1">
      <c r="A243" s="19"/>
      <c r="B243" s="14"/>
      <c r="C243" s="14"/>
      <c r="D243" s="14"/>
      <c r="E243" s="14"/>
      <c r="F243" s="15"/>
      <c r="G243" s="14"/>
    </row>
    <row r="244" ht="15.75" customHeight="1">
      <c r="A244" s="19"/>
      <c r="B244" s="14"/>
      <c r="C244" s="14"/>
      <c r="D244" s="14"/>
      <c r="E244" s="14"/>
      <c r="F244" s="15"/>
      <c r="G244" s="14"/>
    </row>
    <row r="245" ht="15.75" customHeight="1">
      <c r="A245" s="19"/>
      <c r="B245" s="14"/>
      <c r="C245" s="14"/>
      <c r="D245" s="14"/>
      <c r="E245" s="14"/>
      <c r="F245" s="15"/>
      <c r="G245" s="14"/>
    </row>
    <row r="246" ht="15.75" customHeight="1">
      <c r="A246" s="19"/>
      <c r="B246" s="14"/>
      <c r="C246" s="14"/>
      <c r="D246" s="14"/>
      <c r="E246" s="14"/>
      <c r="F246" s="15"/>
      <c r="G246" s="14"/>
    </row>
    <row r="247" ht="15.75" customHeight="1">
      <c r="A247" s="19"/>
      <c r="B247" s="14"/>
      <c r="C247" s="14"/>
      <c r="D247" s="14"/>
      <c r="E247" s="14"/>
      <c r="F247" s="15"/>
      <c r="G247" s="14"/>
    </row>
    <row r="248" ht="15.75" customHeight="1">
      <c r="A248" s="19"/>
      <c r="B248" s="14"/>
      <c r="C248" s="14"/>
      <c r="D248" s="14"/>
      <c r="E248" s="14"/>
      <c r="F248" s="15"/>
      <c r="G248" s="14"/>
    </row>
    <row r="249" ht="15.75" customHeight="1">
      <c r="A249" s="19"/>
      <c r="B249" s="14"/>
      <c r="C249" s="14"/>
      <c r="D249" s="14"/>
      <c r="E249" s="14"/>
      <c r="F249" s="15"/>
      <c r="G249" s="14"/>
    </row>
    <row r="250" ht="15.75" customHeight="1">
      <c r="A250" s="19"/>
      <c r="B250" s="14"/>
      <c r="C250" s="14"/>
      <c r="D250" s="14"/>
      <c r="E250" s="14"/>
      <c r="F250" s="15"/>
      <c r="G250" s="14"/>
    </row>
    <row r="251" ht="15.75" customHeight="1">
      <c r="A251" s="19"/>
      <c r="B251" s="14"/>
      <c r="C251" s="14"/>
      <c r="D251" s="14"/>
      <c r="E251" s="14"/>
      <c r="F251" s="15"/>
      <c r="G251" s="14"/>
    </row>
    <row r="252" ht="15.75" customHeight="1">
      <c r="A252" s="19"/>
      <c r="B252" s="14"/>
      <c r="C252" s="14"/>
      <c r="D252" s="14"/>
      <c r="E252" s="14"/>
      <c r="F252" s="15"/>
      <c r="G252" s="14"/>
    </row>
    <row r="253" ht="15.75" customHeight="1">
      <c r="A253" s="19"/>
      <c r="B253" s="14"/>
      <c r="C253" s="14"/>
      <c r="D253" s="14"/>
      <c r="E253" s="14"/>
      <c r="F253" s="15"/>
      <c r="G253" s="14"/>
    </row>
    <row r="254" ht="15.75" customHeight="1">
      <c r="A254" s="19"/>
      <c r="B254" s="14"/>
      <c r="C254" s="14"/>
      <c r="D254" s="14"/>
      <c r="E254" s="14"/>
      <c r="F254" s="15"/>
      <c r="G254" s="14"/>
    </row>
    <row r="255" ht="15.75" customHeight="1">
      <c r="A255" s="19"/>
      <c r="B255" s="14"/>
      <c r="C255" s="14"/>
      <c r="D255" s="14"/>
      <c r="E255" s="14"/>
      <c r="F255" s="15"/>
      <c r="G255" s="14"/>
    </row>
    <row r="256" ht="15.75" customHeight="1">
      <c r="A256" s="19"/>
      <c r="B256" s="14"/>
      <c r="C256" s="14"/>
      <c r="D256" s="14"/>
      <c r="E256" s="14"/>
      <c r="F256" s="15"/>
      <c r="G256" s="14"/>
    </row>
    <row r="257" ht="15.75" customHeight="1">
      <c r="A257" s="19"/>
      <c r="B257" s="14"/>
      <c r="C257" s="14"/>
      <c r="D257" s="14"/>
      <c r="E257" s="14"/>
      <c r="F257" s="15"/>
      <c r="G257" s="14"/>
    </row>
    <row r="258" ht="15.75" customHeight="1">
      <c r="A258" s="19"/>
      <c r="B258" s="14"/>
      <c r="C258" s="14"/>
      <c r="D258" s="14"/>
      <c r="E258" s="14"/>
      <c r="F258" s="15"/>
      <c r="G258" s="14"/>
    </row>
    <row r="259" ht="15.75" customHeight="1">
      <c r="A259" s="19"/>
      <c r="B259" s="14"/>
      <c r="C259" s="14"/>
      <c r="D259" s="14"/>
      <c r="E259" s="14"/>
      <c r="F259" s="15"/>
      <c r="G259" s="14"/>
    </row>
    <row r="260" ht="15.75" customHeight="1">
      <c r="A260" s="19"/>
      <c r="B260" s="14"/>
      <c r="C260" s="14"/>
      <c r="D260" s="14"/>
      <c r="E260" s="14"/>
      <c r="F260" s="15"/>
      <c r="G260" s="14"/>
    </row>
    <row r="261" ht="15.75" customHeight="1">
      <c r="A261" s="19"/>
      <c r="B261" s="14"/>
      <c r="C261" s="14"/>
      <c r="D261" s="14"/>
      <c r="E261" s="14"/>
      <c r="F261" s="15"/>
      <c r="G261" s="14"/>
    </row>
    <row r="262" ht="15.75" customHeight="1">
      <c r="A262" s="19"/>
      <c r="B262" s="14"/>
      <c r="C262" s="14"/>
      <c r="D262" s="14"/>
      <c r="E262" s="14"/>
      <c r="F262" s="15"/>
      <c r="G262" s="14"/>
    </row>
    <row r="263" ht="15.75" customHeight="1">
      <c r="A263" s="19"/>
      <c r="B263" s="14"/>
      <c r="C263" s="14"/>
      <c r="D263" s="14"/>
      <c r="E263" s="14"/>
      <c r="F263" s="15"/>
      <c r="G263" s="14"/>
    </row>
    <row r="264" ht="15.75" customHeight="1">
      <c r="A264" s="19"/>
      <c r="B264" s="14"/>
      <c r="C264" s="14"/>
      <c r="D264" s="14"/>
      <c r="E264" s="14"/>
      <c r="F264" s="15"/>
      <c r="G264" s="14"/>
    </row>
    <row r="265" ht="15.75" customHeight="1">
      <c r="A265" s="19"/>
      <c r="B265" s="14"/>
      <c r="C265" s="14"/>
      <c r="D265" s="14"/>
      <c r="E265" s="14"/>
      <c r="F265" s="15"/>
      <c r="G265" s="14"/>
    </row>
    <row r="266" ht="15.75" customHeight="1">
      <c r="A266" s="19"/>
      <c r="B266" s="14"/>
      <c r="C266" s="14"/>
      <c r="D266" s="14"/>
      <c r="E266" s="14"/>
      <c r="F266" s="15"/>
      <c r="G266" s="14"/>
    </row>
    <row r="267" ht="15.75" customHeight="1">
      <c r="A267" s="19"/>
      <c r="B267" s="14"/>
      <c r="C267" s="14"/>
      <c r="D267" s="14"/>
      <c r="E267" s="14"/>
      <c r="F267" s="15"/>
      <c r="G267" s="14"/>
    </row>
    <row r="268" ht="15.75" customHeight="1">
      <c r="A268" s="19"/>
      <c r="B268" s="14"/>
      <c r="C268" s="14"/>
      <c r="D268" s="14"/>
      <c r="E268" s="14"/>
      <c r="F268" s="15"/>
      <c r="G268" s="14"/>
    </row>
    <row r="269" ht="15.75" customHeight="1">
      <c r="A269" s="19"/>
      <c r="B269" s="14"/>
      <c r="C269" s="14"/>
      <c r="D269" s="14"/>
      <c r="E269" s="14"/>
      <c r="F269" s="15"/>
      <c r="G269" s="14"/>
    </row>
    <row r="270" ht="15.75" customHeight="1">
      <c r="A270" s="19"/>
      <c r="B270" s="14"/>
      <c r="C270" s="14"/>
      <c r="D270" s="14"/>
      <c r="E270" s="14"/>
      <c r="F270" s="15"/>
      <c r="G270" s="14"/>
    </row>
    <row r="271" ht="15.75" customHeight="1">
      <c r="A271" s="19"/>
      <c r="B271" s="14"/>
      <c r="C271" s="14"/>
      <c r="D271" s="14"/>
      <c r="E271" s="14"/>
      <c r="F271" s="15"/>
      <c r="G271" s="14"/>
    </row>
  </sheetData>
  <mergeCells count="2">
    <mergeCell ref="B166:G166"/>
    <mergeCell ref="B19:G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43"/>
    <col customWidth="1" min="4" max="4" width="17.86"/>
    <col customWidth="1" min="5" max="5" width="14.43"/>
    <col customWidth="1" min="7" max="8" width="16.86"/>
    <col customWidth="1" min="9" max="9" width="16.57"/>
    <col customWidth="1" min="10" max="10" width="15.14"/>
    <col customWidth="1" min="11" max="11" width="14.71"/>
  </cols>
  <sheetData>
    <row r="1">
      <c r="A1" s="20" t="s">
        <v>15</v>
      </c>
      <c r="B1" s="21" t="s">
        <v>16</v>
      </c>
      <c r="C1" s="21" t="s">
        <v>17</v>
      </c>
      <c r="D1" s="22" t="s">
        <v>18</v>
      </c>
      <c r="E1" s="23" t="s">
        <v>16</v>
      </c>
      <c r="F1" s="23" t="s">
        <v>17</v>
      </c>
      <c r="G1" s="24" t="s">
        <v>19</v>
      </c>
      <c r="H1" s="25" t="s">
        <v>20</v>
      </c>
      <c r="I1" s="26" t="s">
        <v>21</v>
      </c>
      <c r="J1" s="27" t="s">
        <v>22</v>
      </c>
      <c r="K1" s="2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8">
        <v>46083.0</v>
      </c>
      <c r="B2" s="10">
        <v>207.66</v>
      </c>
      <c r="C2" s="10">
        <v>96.94</v>
      </c>
      <c r="E2" s="29">
        <f t="shared" ref="E2:F2" si="1">(B2-B3)/B3</f>
        <v>0.01599882577</v>
      </c>
      <c r="F2" s="29">
        <f t="shared" si="1"/>
        <v>0</v>
      </c>
      <c r="G2" s="30">
        <f t="shared" ref="G2:G53" si="4">B3/B2 - 1</f>
        <v>-0.01574689396</v>
      </c>
      <c r="H2" s="30">
        <f t="shared" ref="H2:H54" si="5">C2/C3 - 1</f>
        <v>0</v>
      </c>
      <c r="I2" s="31">
        <f t="shared" ref="I2:J2" si="2">LN(B3/B2)</f>
        <v>-0.01587219342</v>
      </c>
      <c r="J2" s="31">
        <f t="shared" si="2"/>
        <v>0</v>
      </c>
      <c r="K2" s="32"/>
    </row>
    <row r="3" ht="15.75" customHeight="1">
      <c r="A3" s="8">
        <v>46076.0</v>
      </c>
      <c r="B3" s="10">
        <v>204.39</v>
      </c>
      <c r="C3" s="10">
        <v>96.94</v>
      </c>
      <c r="E3" s="29">
        <f t="shared" ref="E3:F3" si="3">(B3-B4)/B4</f>
        <v>0.00983201581</v>
      </c>
      <c r="F3" s="29">
        <f t="shared" si="3"/>
        <v>-0.0210058574</v>
      </c>
      <c r="G3" s="30">
        <f t="shared" si="4"/>
        <v>-0.009736288468</v>
      </c>
      <c r="H3" s="30">
        <f t="shared" si="5"/>
        <v>-0.0210058574</v>
      </c>
      <c r="I3" s="31">
        <f t="shared" ref="I3:J3" si="6">LN(B4/B3)</f>
        <v>-0.00978399604</v>
      </c>
      <c r="J3" s="31">
        <f t="shared" si="6"/>
        <v>0.02122961952</v>
      </c>
      <c r="K3" s="32"/>
    </row>
    <row r="4" ht="15.75" customHeight="1">
      <c r="A4" s="8">
        <v>46069.0</v>
      </c>
      <c r="B4" s="10">
        <v>202.4</v>
      </c>
      <c r="C4" s="10">
        <v>99.02</v>
      </c>
      <c r="E4" s="29">
        <f t="shared" ref="E4:F4" si="7">(B4-B5)/B5</f>
        <v>0.110745253</v>
      </c>
      <c r="F4" s="29">
        <f t="shared" si="7"/>
        <v>0.02888611804</v>
      </c>
      <c r="G4" s="30">
        <f t="shared" si="4"/>
        <v>-0.09970355731</v>
      </c>
      <c r="H4" s="30">
        <f t="shared" si="5"/>
        <v>0.02888611804</v>
      </c>
      <c r="I4" s="31">
        <f t="shared" ref="I4:J4" si="8">LN(B5/B4)</f>
        <v>-0.1050311891</v>
      </c>
      <c r="J4" s="31">
        <f t="shared" si="8"/>
        <v>-0.02847677827</v>
      </c>
      <c r="K4" s="32"/>
    </row>
    <row r="5" ht="15.75" customHeight="1">
      <c r="A5" s="8">
        <v>46062.0</v>
      </c>
      <c r="B5" s="10">
        <v>182.22</v>
      </c>
      <c r="C5" s="10">
        <v>96.24</v>
      </c>
      <c r="E5" s="29">
        <f t="shared" ref="E5:F5" si="9">(B5-B6)/B6</f>
        <v>0.1254400593</v>
      </c>
      <c r="F5" s="29">
        <f t="shared" si="9"/>
        <v>0.2233379942</v>
      </c>
      <c r="G5" s="30">
        <f t="shared" si="4"/>
        <v>-0.1114586763</v>
      </c>
      <c r="H5" s="30">
        <f t="shared" si="5"/>
        <v>0.2233379942</v>
      </c>
      <c r="I5" s="31">
        <f t="shared" ref="I5:J5" si="10">LN(B6/B5)</f>
        <v>-0.118174123</v>
      </c>
      <c r="J5" s="31">
        <f t="shared" si="10"/>
        <v>-0.2015831833</v>
      </c>
      <c r="K5" s="32"/>
    </row>
    <row r="6" ht="15.75" customHeight="1">
      <c r="A6" s="8">
        <v>46055.0</v>
      </c>
      <c r="B6" s="10">
        <v>161.91</v>
      </c>
      <c r="C6" s="10">
        <v>78.67</v>
      </c>
      <c r="E6" s="29">
        <f t="shared" ref="E6:F6" si="11">(B6-B7)/B7</f>
        <v>0.02643590719</v>
      </c>
      <c r="F6" s="29">
        <f t="shared" si="11"/>
        <v>0.02341615715</v>
      </c>
      <c r="G6" s="30">
        <f t="shared" si="4"/>
        <v>-0.0257550491</v>
      </c>
      <c r="H6" s="30">
        <f t="shared" si="5"/>
        <v>0.02341615715</v>
      </c>
      <c r="I6" s="31">
        <f t="shared" ref="I6:J6" si="12">LN(B7/B6)</f>
        <v>-0.02609251733</v>
      </c>
      <c r="J6" s="31">
        <f t="shared" si="12"/>
        <v>-0.02314620498</v>
      </c>
      <c r="K6" s="32"/>
    </row>
    <row r="7" ht="15.75" customHeight="1">
      <c r="A7" s="8">
        <v>46048.0</v>
      </c>
      <c r="B7" s="10">
        <v>157.74</v>
      </c>
      <c r="C7" s="10">
        <v>76.87</v>
      </c>
      <c r="E7" s="29">
        <f t="shared" ref="E7:F7" si="13">(B7-B8)/B8</f>
        <v>0.03735367618</v>
      </c>
      <c r="F7" s="29">
        <f t="shared" si="13"/>
        <v>-0.06484184915</v>
      </c>
      <c r="G7" s="30">
        <f t="shared" si="4"/>
        <v>-0.03600862178</v>
      </c>
      <c r="H7" s="30">
        <f t="shared" si="5"/>
        <v>-0.06484184915</v>
      </c>
      <c r="I7" s="31">
        <f t="shared" ref="I7:J7" si="14">LN(B8/B7)</f>
        <v>-0.03667292817</v>
      </c>
      <c r="J7" s="31">
        <f t="shared" si="14"/>
        <v>0.0670396187</v>
      </c>
      <c r="K7" s="32"/>
    </row>
    <row r="8" ht="15.75" customHeight="1">
      <c r="A8" s="8">
        <v>46045.0</v>
      </c>
      <c r="B8" s="10">
        <v>152.06</v>
      </c>
      <c r="C8" s="10">
        <v>82.2</v>
      </c>
      <c r="E8" s="29">
        <f t="shared" ref="E8:F8" si="15">(B8-B9)/B9</f>
        <v>0.01400373433</v>
      </c>
      <c r="F8" s="29">
        <f t="shared" si="15"/>
        <v>-0.01545095221</v>
      </c>
      <c r="G8" s="30">
        <f t="shared" si="4"/>
        <v>-0.01381033802</v>
      </c>
      <c r="H8" s="30">
        <f t="shared" si="5"/>
        <v>-0.01545095221</v>
      </c>
      <c r="I8" s="31">
        <f t="shared" ref="I8:J8" si="16">LN(B9/B8)</f>
        <v>-0.01390658793</v>
      </c>
      <c r="J8" s="31">
        <f t="shared" si="16"/>
        <v>0.01557156214</v>
      </c>
      <c r="K8" s="33"/>
    </row>
    <row r="9" ht="15.75" customHeight="1">
      <c r="A9" s="8">
        <v>46034.0</v>
      </c>
      <c r="B9" s="10">
        <v>149.96</v>
      </c>
      <c r="C9" s="10">
        <v>83.49</v>
      </c>
      <c r="E9" s="29">
        <f t="shared" ref="E9:F9" si="17">(B9-B10)/B10</f>
        <v>-0.008397804668</v>
      </c>
      <c r="F9" s="29">
        <f t="shared" si="17"/>
        <v>-0.03053878309</v>
      </c>
      <c r="G9" s="30">
        <f t="shared" si="4"/>
        <v>0.008468925047</v>
      </c>
      <c r="H9" s="30">
        <f t="shared" si="5"/>
        <v>-0.03053878309</v>
      </c>
      <c r="I9" s="31">
        <f t="shared" ref="I9:J9" si="18">LN(B10/B9)</f>
        <v>0.008433264895</v>
      </c>
      <c r="J9" s="31">
        <f t="shared" si="18"/>
        <v>0.03101480829</v>
      </c>
      <c r="K9" s="33"/>
    </row>
    <row r="10" ht="15.75" customHeight="1">
      <c r="A10" s="8">
        <v>46027.0</v>
      </c>
      <c r="B10" s="10">
        <v>151.23</v>
      </c>
      <c r="C10" s="10">
        <v>86.12</v>
      </c>
      <c r="E10" s="29">
        <f t="shared" ref="E10:F10" si="19">(B10-B11)/B11</f>
        <v>0.007528314457</v>
      </c>
      <c r="F10" s="29">
        <f t="shared" si="19"/>
        <v>-0.02136363636</v>
      </c>
      <c r="G10" s="30">
        <f t="shared" si="4"/>
        <v>-0.007472062421</v>
      </c>
      <c r="H10" s="30">
        <f t="shared" si="5"/>
        <v>-0.02136363636</v>
      </c>
      <c r="I10" s="31">
        <f t="shared" ref="I10:J10" si="20">LN(B11/B10)</f>
        <v>-0.007500118123</v>
      </c>
      <c r="J10" s="31">
        <f t="shared" si="20"/>
        <v>0.02159514198</v>
      </c>
      <c r="K10" s="33"/>
    </row>
    <row r="11" ht="15.75" customHeight="1">
      <c r="A11" s="8">
        <v>46020.0</v>
      </c>
      <c r="B11" s="10">
        <v>150.1</v>
      </c>
      <c r="C11" s="10">
        <v>88.0</v>
      </c>
      <c r="E11" s="29">
        <f t="shared" ref="E11:F11" si="21">(B11-B12)/B12</f>
        <v>0.003409318805</v>
      </c>
      <c r="F11" s="29">
        <f t="shared" si="21"/>
        <v>-0.01632014308</v>
      </c>
      <c r="G11" s="30">
        <f t="shared" si="4"/>
        <v>-0.003397734843</v>
      </c>
      <c r="H11" s="30">
        <f t="shared" si="5"/>
        <v>-0.01632014308</v>
      </c>
      <c r="I11" s="31">
        <f t="shared" ref="I11:J11" si="22">LN(B12/B11)</f>
        <v>-0.003403520253</v>
      </c>
      <c r="J11" s="31">
        <f t="shared" si="22"/>
        <v>0.01645478353</v>
      </c>
      <c r="K11" s="33"/>
    </row>
    <row r="12" ht="15.75" customHeight="1">
      <c r="A12" s="8">
        <v>46013.0</v>
      </c>
      <c r="B12" s="10">
        <v>149.59</v>
      </c>
      <c r="C12" s="10">
        <v>89.46</v>
      </c>
      <c r="E12" s="29">
        <f t="shared" ref="E12:F12" si="23">(B12-B13)/B13</f>
        <v>-0.06716138688</v>
      </c>
      <c r="F12" s="29">
        <f t="shared" si="23"/>
        <v>-0.01681503462</v>
      </c>
      <c r="G12" s="30">
        <f t="shared" si="4"/>
        <v>0.07199679123</v>
      </c>
      <c r="H12" s="30">
        <f t="shared" si="5"/>
        <v>-0.01681503462</v>
      </c>
      <c r="I12" s="31">
        <f t="shared" ref="I12:J12" si="24">LN(B13/B12)</f>
        <v>0.06952306939</v>
      </c>
      <c r="J12" s="31">
        <f t="shared" si="24"/>
        <v>0.01695801236</v>
      </c>
      <c r="K12" s="33"/>
    </row>
    <row r="13" ht="15.75" customHeight="1">
      <c r="A13" s="8">
        <v>46006.0</v>
      </c>
      <c r="B13" s="10">
        <v>160.36</v>
      </c>
      <c r="C13" s="10">
        <v>90.99</v>
      </c>
      <c r="E13" s="29">
        <f t="shared" ref="E13:F13" si="25">(B13-B14)/B14</f>
        <v>-0.03339361061</v>
      </c>
      <c r="F13" s="29">
        <f t="shared" si="25"/>
        <v>-0.03683709114</v>
      </c>
      <c r="G13" s="30">
        <f t="shared" si="4"/>
        <v>0.03454726865</v>
      </c>
      <c r="H13" s="30">
        <f t="shared" si="5"/>
        <v>-0.03683709114</v>
      </c>
      <c r="I13" s="31">
        <f t="shared" ref="I13:J13" si="26">LN(B14/B13)</f>
        <v>0.03396390942</v>
      </c>
      <c r="J13" s="31">
        <f t="shared" si="26"/>
        <v>0.03753271341</v>
      </c>
      <c r="K13" s="33"/>
    </row>
    <row r="14" ht="15.75" customHeight="1">
      <c r="A14" s="8">
        <v>45999.0</v>
      </c>
      <c r="B14" s="10">
        <v>165.9</v>
      </c>
      <c r="C14" s="10">
        <v>94.47</v>
      </c>
      <c r="E14" s="29">
        <f t="shared" ref="E14:F14" si="27">(B14-B15)/B15</f>
        <v>0.002416918429</v>
      </c>
      <c r="F14" s="29">
        <f t="shared" si="27"/>
        <v>0.0008475474097</v>
      </c>
      <c r="G14" s="30">
        <f t="shared" si="4"/>
        <v>-0.002411091019</v>
      </c>
      <c r="H14" s="30">
        <f t="shared" si="5"/>
        <v>0.0008475474097</v>
      </c>
      <c r="I14" s="31">
        <f t="shared" ref="I14:J14" si="28">LN(B15/B14)</f>
        <v>-0.002414002379</v>
      </c>
      <c r="J14" s="31">
        <f t="shared" si="28"/>
        <v>-0.0008471884442</v>
      </c>
      <c r="K14" s="33"/>
    </row>
    <row r="15" ht="15.75" customHeight="1">
      <c r="A15" s="8">
        <v>45992.0</v>
      </c>
      <c r="B15" s="10">
        <v>165.5</v>
      </c>
      <c r="C15" s="10">
        <v>94.39</v>
      </c>
      <c r="E15" s="29">
        <f t="shared" ref="E15:F15" si="29">(B15-B16)/B16</f>
        <v>-0.0137067938</v>
      </c>
      <c r="F15" s="29">
        <f t="shared" si="29"/>
        <v>-0.008404244143</v>
      </c>
      <c r="G15" s="30">
        <f t="shared" si="4"/>
        <v>0.01389728097</v>
      </c>
      <c r="H15" s="30">
        <f t="shared" si="5"/>
        <v>-0.008404244143</v>
      </c>
      <c r="I15" s="31">
        <f t="shared" ref="I15:J15" si="30">LN(B16/B15)</f>
        <v>0.01380159922</v>
      </c>
      <c r="J15" s="31">
        <f t="shared" si="30"/>
        <v>0.008439758926</v>
      </c>
      <c r="K15" s="28"/>
    </row>
    <row r="16" ht="15.75" customHeight="1">
      <c r="A16" s="8">
        <v>45985.0</v>
      </c>
      <c r="B16" s="10">
        <v>167.8</v>
      </c>
      <c r="C16" s="10">
        <v>95.19</v>
      </c>
      <c r="E16" s="29">
        <f t="shared" ref="E16:F16" si="31">(B16-B17)/B17</f>
        <v>0.0314728301</v>
      </c>
      <c r="F16" s="29">
        <f t="shared" si="31"/>
        <v>-0.05037909018</v>
      </c>
      <c r="G16" s="30">
        <f t="shared" si="4"/>
        <v>-0.0305125149</v>
      </c>
      <c r="H16" s="30">
        <f t="shared" si="5"/>
        <v>-0.05037909018</v>
      </c>
      <c r="I16" s="31">
        <f t="shared" ref="I16:J16" si="32">LN(B17/B16)</f>
        <v>-0.03098771299</v>
      </c>
      <c r="J16" s="31">
        <f t="shared" si="32"/>
        <v>0.05169241632</v>
      </c>
      <c r="K16" s="32"/>
    </row>
    <row r="17" ht="15.75" customHeight="1">
      <c r="A17" s="8">
        <v>45978.0</v>
      </c>
      <c r="B17" s="10">
        <v>162.68</v>
      </c>
      <c r="C17" s="10">
        <v>100.24</v>
      </c>
      <c r="E17" s="29">
        <f t="shared" ref="E17:F17" si="33">(B17-B18)/B18</f>
        <v>0.008930786405</v>
      </c>
      <c r="F17" s="29">
        <f t="shared" si="33"/>
        <v>-0.06822829522</v>
      </c>
      <c r="G17" s="30">
        <f t="shared" si="4"/>
        <v>-0.008851733464</v>
      </c>
      <c r="H17" s="30">
        <f t="shared" si="5"/>
        <v>-0.06822829522</v>
      </c>
      <c r="I17" s="31">
        <f t="shared" ref="I17:J17" si="34">LN(B18/B17)</f>
        <v>-0.00889114279</v>
      </c>
      <c r="J17" s="31">
        <f t="shared" si="34"/>
        <v>0.07066744626</v>
      </c>
      <c r="K17" s="32"/>
    </row>
    <row r="18" ht="15.75" customHeight="1">
      <c r="A18" s="8">
        <v>45971.0</v>
      </c>
      <c r="B18" s="10">
        <v>161.24</v>
      </c>
      <c r="C18" s="10">
        <v>107.58</v>
      </c>
      <c r="E18" s="29">
        <f t="shared" ref="E18:F18" si="35">(B18-B19)/B19</f>
        <v>0.1722282806</v>
      </c>
      <c r="F18" s="29">
        <f t="shared" si="35"/>
        <v>0.03134886396</v>
      </c>
      <c r="G18" s="30">
        <f t="shared" si="4"/>
        <v>-0.1469238402</v>
      </c>
      <c r="H18" s="30">
        <f t="shared" si="5"/>
        <v>0.03134886396</v>
      </c>
      <c r="I18" s="31">
        <f t="shared" ref="I18:J18" si="36">LN(B19/B18)</f>
        <v>-0.1589064509</v>
      </c>
      <c r="J18" s="31">
        <f t="shared" si="36"/>
        <v>-0.03086752216</v>
      </c>
      <c r="K18" s="32"/>
    </row>
    <row r="19" ht="15.75" customHeight="1">
      <c r="A19" s="8">
        <v>45957.0</v>
      </c>
      <c r="B19" s="10">
        <v>137.55</v>
      </c>
      <c r="C19" s="10">
        <v>104.31</v>
      </c>
      <c r="E19" s="29">
        <f t="shared" ref="E19:F19" si="37">(B19-B20)/B20</f>
        <v>0.05677627535</v>
      </c>
      <c r="F19" s="29">
        <f t="shared" si="37"/>
        <v>-0.06212911347</v>
      </c>
      <c r="G19" s="30">
        <f t="shared" si="4"/>
        <v>-0.05372591785</v>
      </c>
      <c r="H19" s="30">
        <f t="shared" si="5"/>
        <v>-0.06212911347</v>
      </c>
      <c r="I19" s="31">
        <f t="shared" ref="I19:J19" si="38">LN(B20/B19)</f>
        <v>-0.05522302446</v>
      </c>
      <c r="J19" s="31">
        <f t="shared" si="38"/>
        <v>0.06414298707</v>
      </c>
      <c r="K19" s="32"/>
    </row>
    <row r="20" ht="15.75" customHeight="1">
      <c r="A20" s="8">
        <v>45954.0</v>
      </c>
      <c r="B20" s="10">
        <v>130.16</v>
      </c>
      <c r="C20" s="10">
        <v>111.22</v>
      </c>
      <c r="E20" s="29">
        <f t="shared" ref="E20:F20" si="39">(B20-B21)/B21</f>
        <v>0.02327044025</v>
      </c>
      <c r="F20" s="29">
        <f t="shared" si="39"/>
        <v>0.007701368125</v>
      </c>
      <c r="G20" s="30">
        <f t="shared" si="4"/>
        <v>-0.02274124155</v>
      </c>
      <c r="H20" s="30">
        <f t="shared" si="5"/>
        <v>0.007701368125</v>
      </c>
      <c r="I20" s="31">
        <f t="shared" ref="I20:J20" si="40">LN(B21/B20)</f>
        <v>-0.023003812</v>
      </c>
      <c r="J20" s="31">
        <f t="shared" si="40"/>
        <v>-0.007671863975</v>
      </c>
      <c r="K20" s="32"/>
    </row>
    <row r="21" ht="15.75" customHeight="1">
      <c r="A21" s="8">
        <v>45943.0</v>
      </c>
      <c r="B21" s="10">
        <v>127.2</v>
      </c>
      <c r="C21" s="10">
        <v>110.37</v>
      </c>
      <c r="E21" s="29">
        <f t="shared" ref="E21:F21" si="41">(B21-B22)/B22</f>
        <v>-0.03048780488</v>
      </c>
      <c r="F21" s="29">
        <f t="shared" si="41"/>
        <v>-0.01358477076</v>
      </c>
      <c r="G21" s="30">
        <f t="shared" si="4"/>
        <v>0.03144654088</v>
      </c>
      <c r="H21" s="30">
        <f t="shared" si="5"/>
        <v>-0.01358477076</v>
      </c>
      <c r="I21" s="31">
        <f t="shared" ref="I21:J21" si="42">LN(B22/B21)</f>
        <v>0.0309622256</v>
      </c>
      <c r="J21" s="31">
        <f t="shared" si="42"/>
        <v>0.01367788803</v>
      </c>
      <c r="K21" s="32"/>
    </row>
    <row r="22" ht="15.75" customHeight="1">
      <c r="A22" s="8">
        <v>45936.0</v>
      </c>
      <c r="B22" s="10">
        <v>131.2</v>
      </c>
      <c r="C22" s="10">
        <v>111.89</v>
      </c>
      <c r="E22" s="29">
        <f t="shared" ref="E22:F22" si="43">(B22-B23)/B23</f>
        <v>0.05780859469</v>
      </c>
      <c r="F22" s="29">
        <f t="shared" si="43"/>
        <v>0.0221065132</v>
      </c>
      <c r="G22" s="30">
        <f t="shared" si="4"/>
        <v>-0.05464939024</v>
      </c>
      <c r="H22" s="30">
        <f t="shared" si="5"/>
        <v>0.0221065132</v>
      </c>
      <c r="I22" s="31">
        <f t="shared" ref="I22:J22" si="44">LN(B23/B22)</f>
        <v>-0.05619940468</v>
      </c>
      <c r="J22" s="31">
        <f t="shared" si="44"/>
        <v>-0.0218657067</v>
      </c>
      <c r="K22" s="32"/>
    </row>
    <row r="23" ht="15.75" customHeight="1">
      <c r="A23" s="8">
        <v>45929.0</v>
      </c>
      <c r="B23" s="10">
        <v>124.03</v>
      </c>
      <c r="C23" s="10">
        <v>109.47</v>
      </c>
      <c r="E23" s="29">
        <f t="shared" ref="E23:F23" si="45">(B23-B24)/B24</f>
        <v>0.03177772232</v>
      </c>
      <c r="F23" s="29">
        <f t="shared" si="45"/>
        <v>-0.08729364682</v>
      </c>
      <c r="G23" s="30">
        <f t="shared" si="4"/>
        <v>-0.03079900024</v>
      </c>
      <c r="H23" s="30">
        <f t="shared" si="5"/>
        <v>-0.08729364682</v>
      </c>
      <c r="I23" s="31">
        <f t="shared" ref="I23:J23" si="46">LN(B24/B23)</f>
        <v>-0.03128325851</v>
      </c>
      <c r="J23" s="31">
        <f t="shared" si="46"/>
        <v>0.09134107862</v>
      </c>
      <c r="K23" s="32"/>
    </row>
    <row r="24" ht="15.75" customHeight="1">
      <c r="A24" s="8">
        <v>45922.0</v>
      </c>
      <c r="B24" s="10">
        <v>120.21</v>
      </c>
      <c r="C24" s="10">
        <v>119.94</v>
      </c>
      <c r="E24" s="29">
        <f t="shared" ref="E24:F24" si="47">(B24-B25)/B25</f>
        <v>0.04557710707</v>
      </c>
      <c r="F24" s="29">
        <f t="shared" si="47"/>
        <v>-0.01696582247</v>
      </c>
      <c r="G24" s="30">
        <f t="shared" si="4"/>
        <v>-0.0435903835</v>
      </c>
      <c r="H24" s="30">
        <f t="shared" si="5"/>
        <v>-0.01696582247</v>
      </c>
      <c r="I24" s="31">
        <f t="shared" ref="I24:J24" si="48">LN(B25/B24)</f>
        <v>-0.04456898855</v>
      </c>
      <c r="J24" s="31">
        <f t="shared" si="48"/>
        <v>0.01711139085</v>
      </c>
      <c r="K24" s="32"/>
    </row>
    <row r="25" ht="15.75" customHeight="1">
      <c r="A25" s="8">
        <v>45915.0</v>
      </c>
      <c r="B25" s="10">
        <v>114.97</v>
      </c>
      <c r="C25" s="10">
        <v>122.01</v>
      </c>
      <c r="E25" s="29">
        <f t="shared" ref="E25:F25" si="49">(B25-B26)/B26</f>
        <v>0.01914723872</v>
      </c>
      <c r="F25" s="29">
        <f t="shared" si="49"/>
        <v>0.05792074915</v>
      </c>
      <c r="G25" s="30">
        <f t="shared" si="4"/>
        <v>-0.01878750979</v>
      </c>
      <c r="H25" s="30">
        <f t="shared" si="5"/>
        <v>0.05792074915</v>
      </c>
      <c r="I25" s="31">
        <f t="shared" ref="I25:J25" si="50">LN(B26/B25)</f>
        <v>-0.01896623715</v>
      </c>
      <c r="J25" s="31">
        <f t="shared" si="50"/>
        <v>-0.05630542435</v>
      </c>
      <c r="K25" s="32"/>
    </row>
    <row r="26" ht="15.75" customHeight="1">
      <c r="A26" s="8">
        <v>45908.0</v>
      </c>
      <c r="B26" s="10">
        <v>112.81</v>
      </c>
      <c r="C26" s="10">
        <v>115.33</v>
      </c>
      <c r="E26" s="29">
        <f t="shared" ref="E26:F26" si="51">(B26-B27)/B27</f>
        <v>-0.07182820471</v>
      </c>
      <c r="F26" s="29">
        <f t="shared" si="51"/>
        <v>-0.04733190154</v>
      </c>
      <c r="G26" s="30">
        <f t="shared" si="4"/>
        <v>0.07738675649</v>
      </c>
      <c r="H26" s="30">
        <f t="shared" si="5"/>
        <v>-0.04733190154</v>
      </c>
      <c r="I26" s="31">
        <f t="shared" ref="I26:J26" si="52">LN(B27/B26)</f>
        <v>0.07453843909</v>
      </c>
      <c r="J26" s="31">
        <f t="shared" si="52"/>
        <v>0.04848870623</v>
      </c>
      <c r="K26" s="32"/>
    </row>
    <row r="27" ht="15.75" customHeight="1">
      <c r="A27" s="8">
        <v>45901.0</v>
      </c>
      <c r="B27" s="10">
        <v>121.54</v>
      </c>
      <c r="C27" s="10">
        <v>121.06</v>
      </c>
      <c r="E27" s="29">
        <f t="shared" ref="E27:F27" si="53">(B27-B28)/B28</f>
        <v>0.009720029908</v>
      </c>
      <c r="F27" s="29">
        <f t="shared" si="53"/>
        <v>-0.01336593317</v>
      </c>
      <c r="G27" s="30">
        <f t="shared" si="4"/>
        <v>-0.009626460425</v>
      </c>
      <c r="H27" s="30">
        <f t="shared" si="5"/>
        <v>-0.01336593317</v>
      </c>
      <c r="I27" s="31">
        <f t="shared" ref="I27:J27" si="54">LN(B28/B27)</f>
        <v>-0.009673094316</v>
      </c>
      <c r="J27" s="31">
        <f t="shared" si="54"/>
        <v>0.01345606125</v>
      </c>
      <c r="K27" s="32"/>
    </row>
    <row r="28" ht="15.75" customHeight="1">
      <c r="A28" s="8">
        <v>45894.0</v>
      </c>
      <c r="B28" s="10">
        <v>120.37</v>
      </c>
      <c r="C28" s="10">
        <v>122.7</v>
      </c>
      <c r="E28" s="29">
        <f t="shared" ref="E28:F28" si="55">(B28-B29)/B29</f>
        <v>0.03038863208</v>
      </c>
      <c r="F28" s="29">
        <f t="shared" si="55"/>
        <v>0.03248064625</v>
      </c>
      <c r="G28" s="30">
        <f t="shared" si="4"/>
        <v>-0.02949239844</v>
      </c>
      <c r="H28" s="30">
        <f t="shared" si="5"/>
        <v>0.03248064625</v>
      </c>
      <c r="I28" s="31">
        <f t="shared" ref="I28:J28" si="56">LN(B29/B28)</f>
        <v>-0.02993604378</v>
      </c>
      <c r="J28" s="31">
        <f t="shared" si="56"/>
        <v>-0.03196430112</v>
      </c>
      <c r="K28" s="32"/>
    </row>
    <row r="29" ht="15.75" customHeight="1">
      <c r="A29" s="8">
        <v>45887.0</v>
      </c>
      <c r="B29" s="10">
        <v>116.82</v>
      </c>
      <c r="C29" s="10">
        <v>118.84</v>
      </c>
      <c r="E29" s="29">
        <f t="shared" ref="E29:F29" si="57">(B29-B30)/B30</f>
        <v>-0.01666666667</v>
      </c>
      <c r="F29" s="29">
        <f t="shared" si="57"/>
        <v>-0.04454092298</v>
      </c>
      <c r="G29" s="30">
        <f t="shared" si="4"/>
        <v>0.01694915254</v>
      </c>
      <c r="H29" s="30">
        <f t="shared" si="5"/>
        <v>-0.04454092298</v>
      </c>
      <c r="I29" s="31">
        <f t="shared" ref="I29:J29" si="58">LN(B30/B29)</f>
        <v>0.01680711832</v>
      </c>
      <c r="J29" s="31">
        <f t="shared" si="58"/>
        <v>0.04556334508</v>
      </c>
      <c r="K29" s="32"/>
    </row>
    <row r="30" ht="15.75" customHeight="1">
      <c r="A30" s="8">
        <v>45880.0</v>
      </c>
      <c r="B30" s="10">
        <v>118.8</v>
      </c>
      <c r="C30" s="10">
        <v>124.38</v>
      </c>
      <c r="E30" s="29">
        <f t="shared" ref="E30:F30" si="59">(B30-B31)/B31</f>
        <v>0.0546875</v>
      </c>
      <c r="F30" s="29">
        <f t="shared" si="59"/>
        <v>0.02946532031</v>
      </c>
      <c r="G30" s="30">
        <f t="shared" si="4"/>
        <v>-0.05185185185</v>
      </c>
      <c r="H30" s="30">
        <f t="shared" si="5"/>
        <v>0.02946532031</v>
      </c>
      <c r="I30" s="31">
        <f t="shared" ref="I30:J30" si="60">LN(B31/B30)</f>
        <v>-0.05324451452</v>
      </c>
      <c r="J30" s="31">
        <f t="shared" si="60"/>
        <v>-0.02903956097</v>
      </c>
      <c r="K30" s="32"/>
    </row>
    <row r="31" ht="15.75" customHeight="1">
      <c r="A31" s="8">
        <v>45873.0</v>
      </c>
      <c r="B31" s="10">
        <v>112.64</v>
      </c>
      <c r="C31" s="10">
        <v>120.82</v>
      </c>
      <c r="E31" s="29">
        <f t="shared" ref="E31:F31" si="61">(B31-B32)/B32</f>
        <v>-0.009322779244</v>
      </c>
      <c r="F31" s="29">
        <f t="shared" si="61"/>
        <v>0.002988543915</v>
      </c>
      <c r="G31" s="30">
        <f t="shared" si="4"/>
        <v>0.009410511364</v>
      </c>
      <c r="H31" s="30">
        <f t="shared" si="5"/>
        <v>0.002988543915</v>
      </c>
      <c r="I31" s="31">
        <f t="shared" ref="I31:J31" si="62">LN(B32/B31)</f>
        <v>0.009366508347</v>
      </c>
      <c r="J31" s="31">
        <f t="shared" si="62"/>
        <v>-0.002984087095</v>
      </c>
      <c r="K31" s="32"/>
    </row>
    <row r="32" ht="15.75" customHeight="1">
      <c r="A32" s="8">
        <v>45866.0</v>
      </c>
      <c r="B32" s="10">
        <v>113.7</v>
      </c>
      <c r="C32" s="10">
        <v>120.46</v>
      </c>
      <c r="E32" s="29">
        <f t="shared" ref="E32:F32" si="63">(B32-B33)/B33</f>
        <v>0.01517857143</v>
      </c>
      <c r="F32" s="29">
        <f t="shared" si="63"/>
        <v>-0.02768585035</v>
      </c>
      <c r="G32" s="30">
        <f t="shared" si="4"/>
        <v>-0.01495162709</v>
      </c>
      <c r="H32" s="30">
        <f t="shared" si="5"/>
        <v>-0.02768585035</v>
      </c>
      <c r="I32" s="31">
        <f t="shared" ref="I32:J32" si="64">LN(B33/B32)</f>
        <v>-0.01506452946</v>
      </c>
      <c r="J32" s="31">
        <f t="shared" si="64"/>
        <v>0.02807632751</v>
      </c>
      <c r="K32" s="32"/>
    </row>
    <row r="33" ht="15.75" customHeight="1">
      <c r="A33" s="8">
        <v>45863.0</v>
      </c>
      <c r="B33" s="10">
        <v>112.0</v>
      </c>
      <c r="C33" s="10">
        <v>123.89</v>
      </c>
      <c r="E33" s="29">
        <f t="shared" ref="E33:F33" si="65">(B33-B34)/B34</f>
        <v>-0.0517314368</v>
      </c>
      <c r="F33" s="29">
        <f t="shared" si="65"/>
        <v>0.02253218884</v>
      </c>
      <c r="G33" s="30">
        <f t="shared" si="4"/>
        <v>0.05455357143</v>
      </c>
      <c r="H33" s="30">
        <f t="shared" si="5"/>
        <v>0.02253218884</v>
      </c>
      <c r="I33" s="31">
        <f t="shared" ref="I33:J33" si="66">LN(B34/B33)</f>
        <v>0.05311752233</v>
      </c>
      <c r="J33" s="31">
        <f t="shared" si="66"/>
        <v>-0.02228208897</v>
      </c>
      <c r="K33" s="32"/>
    </row>
    <row r="34" ht="15.75" customHeight="1">
      <c r="A34" s="8">
        <v>45852.0</v>
      </c>
      <c r="B34" s="10">
        <v>118.11</v>
      </c>
      <c r="C34" s="10">
        <v>121.16</v>
      </c>
      <c r="E34" s="29">
        <f t="shared" ref="E34:F34" si="67">(B34-B35)/B35</f>
        <v>0.04800354925</v>
      </c>
      <c r="F34" s="29">
        <f t="shared" si="67"/>
        <v>0.04574486449</v>
      </c>
      <c r="G34" s="30">
        <f t="shared" si="4"/>
        <v>-0.04580475828</v>
      </c>
      <c r="H34" s="30">
        <f t="shared" si="5"/>
        <v>0.04574486449</v>
      </c>
      <c r="I34" s="31">
        <f t="shared" ref="I34:J34" si="68">LN(B35/B34)</f>
        <v>-0.04688697258</v>
      </c>
      <c r="J34" s="31">
        <f t="shared" si="68"/>
        <v>-0.04472942049</v>
      </c>
      <c r="K34" s="32"/>
    </row>
    <row r="35" ht="15.75" customHeight="1">
      <c r="A35" s="8">
        <v>45845.0</v>
      </c>
      <c r="B35" s="10">
        <v>112.7</v>
      </c>
      <c r="C35" s="10">
        <v>115.86</v>
      </c>
      <c r="E35" s="29">
        <f t="shared" ref="E35:F35" si="69">(B35-B36)/B36</f>
        <v>-0.005120056497</v>
      </c>
      <c r="F35" s="29">
        <f t="shared" si="69"/>
        <v>-0.01855146125</v>
      </c>
      <c r="G35" s="30">
        <f t="shared" si="4"/>
        <v>0.005146406389</v>
      </c>
      <c r="H35" s="30">
        <f t="shared" si="5"/>
        <v>-0.01855146125</v>
      </c>
      <c r="I35" s="31">
        <f t="shared" ref="I35:J35" si="70">LN(B36/B35)</f>
        <v>0.0051332089</v>
      </c>
      <c r="J35" s="31">
        <f t="shared" si="70"/>
        <v>0.01872569786</v>
      </c>
      <c r="K35" s="32"/>
    </row>
    <row r="36" ht="15.75" customHeight="1">
      <c r="A36" s="8">
        <v>45838.0</v>
      </c>
      <c r="B36" s="10">
        <v>113.28</v>
      </c>
      <c r="C36" s="10">
        <v>118.05</v>
      </c>
      <c r="E36" s="29">
        <f t="shared" ref="E36:F36" si="71">(B36-B37)/B37</f>
        <v>-0.03196034866</v>
      </c>
      <c r="F36" s="29">
        <f t="shared" si="71"/>
        <v>-0.02373470063</v>
      </c>
      <c r="G36" s="30">
        <f t="shared" si="4"/>
        <v>0.03301553672</v>
      </c>
      <c r="H36" s="30">
        <f t="shared" si="5"/>
        <v>-0.02373470063</v>
      </c>
      <c r="I36" s="31">
        <f t="shared" ref="I36:J36" si="72">LN(B37/B36)</f>
        <v>0.03248223041</v>
      </c>
      <c r="J36" s="31">
        <f t="shared" si="72"/>
        <v>0.02402090638</v>
      </c>
      <c r="K36" s="32"/>
    </row>
    <row r="37" ht="15.75" customHeight="1">
      <c r="A37" s="8">
        <v>45831.0</v>
      </c>
      <c r="B37" s="10">
        <v>117.02</v>
      </c>
      <c r="C37" s="10">
        <v>120.92</v>
      </c>
      <c r="E37" s="29">
        <f t="shared" ref="E37:F37" si="73">(B37-B38)/B38</f>
        <v>0.05613718412</v>
      </c>
      <c r="F37" s="29">
        <f t="shared" si="73"/>
        <v>-0.02883302546</v>
      </c>
      <c r="G37" s="30">
        <f t="shared" si="4"/>
        <v>-0.05315330713</v>
      </c>
      <c r="H37" s="30">
        <f t="shared" si="5"/>
        <v>-0.02883302546</v>
      </c>
      <c r="I37" s="31">
        <f t="shared" ref="I37:J37" si="74">LN(B38/B37)</f>
        <v>-0.05461808605</v>
      </c>
      <c r="J37" s="31">
        <f t="shared" si="74"/>
        <v>0.02925686405</v>
      </c>
      <c r="K37" s="32"/>
    </row>
    <row r="38" ht="15.75" customHeight="1">
      <c r="A38" s="8">
        <v>45824.0</v>
      </c>
      <c r="B38" s="10">
        <v>110.8</v>
      </c>
      <c r="C38" s="10">
        <v>124.51</v>
      </c>
      <c r="E38" s="29">
        <f t="shared" ref="E38:F38" si="75">(B38-B39)/B39</f>
        <v>0.04027790818</v>
      </c>
      <c r="F38" s="29">
        <f t="shared" si="75"/>
        <v>-0.04016342892</v>
      </c>
      <c r="G38" s="30">
        <f t="shared" si="4"/>
        <v>-0.03871841155</v>
      </c>
      <c r="H38" s="30">
        <f t="shared" si="5"/>
        <v>-0.04016342892</v>
      </c>
      <c r="I38" s="31">
        <f t="shared" ref="I38:J38" si="76">LN(B39/B38)</f>
        <v>-0.03948789686</v>
      </c>
      <c r="J38" s="31">
        <f t="shared" si="76"/>
        <v>0.04099224747</v>
      </c>
      <c r="K38" s="32"/>
    </row>
    <row r="39" ht="15.75" customHeight="1">
      <c r="A39" s="8">
        <v>45817.0</v>
      </c>
      <c r="B39" s="10">
        <v>106.51</v>
      </c>
      <c r="C39" s="10">
        <v>129.72</v>
      </c>
      <c r="E39" s="29">
        <f t="shared" ref="E39:F39" si="77">(B39-B40)/B40</f>
        <v>-0.01361363215</v>
      </c>
      <c r="F39" s="29">
        <f t="shared" si="77"/>
        <v>-0.01957523997</v>
      </c>
      <c r="G39" s="30">
        <f t="shared" si="4"/>
        <v>0.01380152098</v>
      </c>
      <c r="H39" s="30">
        <f t="shared" si="5"/>
        <v>-0.01957523997</v>
      </c>
      <c r="I39" s="31">
        <f t="shared" ref="I39:J39" si="78">LN(B40/B39)</f>
        <v>0.01370714734</v>
      </c>
      <c r="J39" s="31">
        <f t="shared" si="78"/>
        <v>0.01976937262</v>
      </c>
      <c r="K39" s="32"/>
    </row>
    <row r="40" ht="15.75" customHeight="1">
      <c r="A40" s="8">
        <v>45810.0</v>
      </c>
      <c r="B40" s="10">
        <v>107.98</v>
      </c>
      <c r="C40" s="10">
        <v>132.31</v>
      </c>
      <c r="E40" s="29">
        <f t="shared" ref="E40:F40" si="79">(B40-B41)/B41</f>
        <v>-0.000370301796</v>
      </c>
      <c r="F40" s="29">
        <f t="shared" si="79"/>
        <v>0.07446808511</v>
      </c>
      <c r="G40" s="30">
        <f t="shared" si="4"/>
        <v>0.0003704389702</v>
      </c>
      <c r="H40" s="30">
        <f t="shared" si="5"/>
        <v>0.07446808511</v>
      </c>
      <c r="I40" s="31">
        <f t="shared" ref="I40:J40" si="80">LN(B41/B40)</f>
        <v>0.0003703703746</v>
      </c>
      <c r="J40" s="31">
        <f t="shared" si="80"/>
        <v>-0.07182573457</v>
      </c>
      <c r="K40" s="32"/>
    </row>
    <row r="41" ht="15.75" customHeight="1">
      <c r="A41" s="8">
        <v>45804.0</v>
      </c>
      <c r="B41" s="10">
        <v>108.02</v>
      </c>
      <c r="C41" s="10">
        <v>123.14</v>
      </c>
      <c r="E41" s="29">
        <f t="shared" ref="E41:F41" si="81">(B41-B42)/B42</f>
        <v>-0.05228987542</v>
      </c>
      <c r="F41" s="29">
        <f t="shared" si="81"/>
        <v>0.01592277865</v>
      </c>
      <c r="G41" s="30">
        <f t="shared" si="4"/>
        <v>0.0551749676</v>
      </c>
      <c r="H41" s="30">
        <f t="shared" si="5"/>
        <v>0.01592277865</v>
      </c>
      <c r="I41" s="31">
        <f t="shared" ref="I41:J41" si="82">LN(B42/B41)</f>
        <v>0.05370659924</v>
      </c>
      <c r="J41" s="31">
        <f t="shared" si="82"/>
        <v>-0.015797341</v>
      </c>
      <c r="K41" s="32"/>
    </row>
    <row r="42" ht="15.75" customHeight="1">
      <c r="A42" s="8">
        <v>45796.0</v>
      </c>
      <c r="B42" s="10">
        <v>113.98</v>
      </c>
      <c r="C42" s="10">
        <v>121.21</v>
      </c>
      <c r="E42" s="29">
        <f t="shared" ref="E42:F42" si="83">(B42-B43)/B43</f>
        <v>0.002550796024</v>
      </c>
      <c r="F42" s="29">
        <f t="shared" si="83"/>
        <v>-0.02368103101</v>
      </c>
      <c r="G42" s="30">
        <f t="shared" si="4"/>
        <v>-0.002544306019</v>
      </c>
      <c r="H42" s="30">
        <f t="shared" si="5"/>
        <v>-0.02368103101</v>
      </c>
      <c r="I42" s="31">
        <f t="shared" ref="I42:J42" si="84">LN(B43/B42)</f>
        <v>-0.002547548266</v>
      </c>
      <c r="J42" s="31">
        <f t="shared" si="84"/>
        <v>0.02396593347</v>
      </c>
      <c r="K42" s="32"/>
    </row>
    <row r="43" ht="15.75" customHeight="1">
      <c r="A43" s="8">
        <v>45789.0</v>
      </c>
      <c r="B43" s="10">
        <v>113.69</v>
      </c>
      <c r="C43" s="10">
        <v>124.15</v>
      </c>
      <c r="E43" s="29">
        <f t="shared" ref="E43:F43" si="85">(B43-B44)/B44</f>
        <v>-0.02745936698</v>
      </c>
      <c r="F43" s="29">
        <f t="shared" si="85"/>
        <v>0.0284128562</v>
      </c>
      <c r="G43" s="30">
        <f t="shared" si="4"/>
        <v>0.02823467323</v>
      </c>
      <c r="H43" s="30">
        <f t="shared" si="5"/>
        <v>0.0284128562</v>
      </c>
      <c r="I43" s="31">
        <f t="shared" ref="I43:J43" si="86">LN(B44/B43)</f>
        <v>0.02784342234</v>
      </c>
      <c r="J43" s="31">
        <f t="shared" si="86"/>
        <v>-0.02801669749</v>
      </c>
      <c r="K43" s="32"/>
    </row>
    <row r="44" ht="15.75" customHeight="1">
      <c r="A44" s="8">
        <v>45782.0</v>
      </c>
      <c r="B44" s="10">
        <v>116.9</v>
      </c>
      <c r="C44" s="10">
        <v>120.72</v>
      </c>
      <c r="E44" s="29">
        <f t="shared" ref="E44:F44" si="87">(B44-B45)/B45</f>
        <v>0.02024786176</v>
      </c>
      <c r="F44" s="29">
        <f t="shared" si="87"/>
        <v>0.01839041674</v>
      </c>
      <c r="G44" s="30">
        <f t="shared" si="4"/>
        <v>-0.01984602224</v>
      </c>
      <c r="H44" s="30">
        <f t="shared" si="5"/>
        <v>0.01839041674</v>
      </c>
      <c r="I44" s="31">
        <f t="shared" ref="I44:J44" si="88">LN(B45/B44)</f>
        <v>-0.0200455995</v>
      </c>
      <c r="J44" s="31">
        <f t="shared" si="88"/>
        <v>-0.0182233581</v>
      </c>
      <c r="K44" s="32"/>
    </row>
    <row r="45" ht="15.75" customHeight="1">
      <c r="A45" s="8">
        <v>45775.0</v>
      </c>
      <c r="B45" s="10">
        <v>114.58</v>
      </c>
      <c r="C45" s="10">
        <v>118.54</v>
      </c>
      <c r="E45" s="29">
        <f t="shared" ref="E45:F45" si="89">(B45-B46)/B46</f>
        <v>0.006588772731</v>
      </c>
      <c r="F45" s="29">
        <f t="shared" si="89"/>
        <v>-0.005119597146</v>
      </c>
      <c r="G45" s="30">
        <f t="shared" si="4"/>
        <v>-0.006545644964</v>
      </c>
      <c r="H45" s="30">
        <f t="shared" si="5"/>
        <v>-0.005119597146</v>
      </c>
      <c r="I45" s="31">
        <f t="shared" ref="I45:J45" si="90">LN(B46/B45)</f>
        <v>-0.006567161643</v>
      </c>
      <c r="J45" s="31">
        <f t="shared" si="90"/>
        <v>0.005132747185</v>
      </c>
      <c r="K45" s="32"/>
    </row>
    <row r="46" ht="15.75" customHeight="1">
      <c r="A46" s="8">
        <v>45772.0</v>
      </c>
      <c r="B46" s="10">
        <v>113.83</v>
      </c>
      <c r="C46" s="10">
        <v>119.15</v>
      </c>
      <c r="E46" s="29">
        <f t="shared" ref="E46:F46" si="91">(B46-B47)/B47</f>
        <v>-0.1621522155</v>
      </c>
      <c r="F46" s="29">
        <f t="shared" si="91"/>
        <v>0.04499210665</v>
      </c>
      <c r="G46" s="30">
        <f t="shared" si="4"/>
        <v>0.1935342177</v>
      </c>
      <c r="H46" s="30">
        <f t="shared" si="5"/>
        <v>0.04499210665</v>
      </c>
      <c r="I46" s="31">
        <f t="shared" ref="I46:J46" si="92">LN(B47/B46)</f>
        <v>0.1769188364</v>
      </c>
      <c r="J46" s="31">
        <f t="shared" si="92"/>
        <v>-0.04400933194</v>
      </c>
      <c r="K46" s="32"/>
    </row>
    <row r="47" ht="15.75" customHeight="1">
      <c r="A47" s="8">
        <v>45761.0</v>
      </c>
      <c r="B47" s="10">
        <v>135.86</v>
      </c>
      <c r="C47" s="10">
        <v>114.02</v>
      </c>
      <c r="E47" s="29">
        <f t="shared" ref="E47:F47" si="93">(B47-B48)/B48</f>
        <v>-0.03316253914</v>
      </c>
      <c r="F47" s="29">
        <f t="shared" si="93"/>
        <v>-0.01409424989</v>
      </c>
      <c r="G47" s="30">
        <f t="shared" si="4"/>
        <v>0.03430001472</v>
      </c>
      <c r="H47" s="30">
        <f t="shared" si="5"/>
        <v>-0.01409424989</v>
      </c>
      <c r="I47" s="31">
        <f t="shared" ref="I47:J47" si="94">LN(B48/B47)</f>
        <v>0.03372488363</v>
      </c>
      <c r="J47" s="31">
        <f t="shared" si="94"/>
        <v>0.01419451707</v>
      </c>
      <c r="K47" s="32"/>
    </row>
    <row r="48" ht="15.75" customHeight="1">
      <c r="A48" s="8">
        <v>45754.0</v>
      </c>
      <c r="B48" s="10">
        <v>140.52</v>
      </c>
      <c r="C48" s="10">
        <v>115.65</v>
      </c>
      <c r="E48" s="29">
        <f t="shared" ref="E48:F48" si="95">(B48-B49)/B49</f>
        <v>0.01495124594</v>
      </c>
      <c r="F48" s="29">
        <f t="shared" si="95"/>
        <v>0.04993191103</v>
      </c>
      <c r="G48" s="30">
        <f t="shared" si="4"/>
        <v>-0.01473099915</v>
      </c>
      <c r="H48" s="30">
        <f t="shared" si="5"/>
        <v>0.04993191103</v>
      </c>
      <c r="I48" s="31">
        <f t="shared" ref="I48:J48" si="96">LN(B49/B48)</f>
        <v>-0.01484057778</v>
      </c>
      <c r="J48" s="31">
        <f t="shared" si="96"/>
        <v>-0.04872531543</v>
      </c>
      <c r="K48" s="32"/>
    </row>
    <row r="49" ht="15.75" customHeight="1">
      <c r="A49" s="8">
        <v>45747.0</v>
      </c>
      <c r="B49" s="10">
        <v>138.45</v>
      </c>
      <c r="C49" s="10">
        <v>110.15</v>
      </c>
      <c r="E49" s="29">
        <f t="shared" ref="E49:F49" si="97">(B49-B50)/B50</f>
        <v>0.06820461384</v>
      </c>
      <c r="F49" s="29">
        <f t="shared" si="97"/>
        <v>0.132065776</v>
      </c>
      <c r="G49" s="30">
        <f t="shared" si="4"/>
        <v>-0.06384976526</v>
      </c>
      <c r="H49" s="30">
        <f t="shared" si="5"/>
        <v>0.132065776</v>
      </c>
      <c r="I49" s="31">
        <f t="shared" ref="I49:J49" si="98">LN(B50/B49)</f>
        <v>-0.06597930818</v>
      </c>
      <c r="J49" s="31">
        <f t="shared" si="98"/>
        <v>-0.1240440841</v>
      </c>
      <c r="K49" s="32"/>
    </row>
    <row r="50" ht="15.75" customHeight="1">
      <c r="A50" s="8">
        <v>45740.0</v>
      </c>
      <c r="B50" s="10">
        <v>129.61</v>
      </c>
      <c r="C50" s="10">
        <v>97.3</v>
      </c>
      <c r="E50" s="29">
        <f t="shared" ref="E50:F50" si="99">(B50-B51)/B51</f>
        <v>-0.01810606061</v>
      </c>
      <c r="F50" s="29">
        <f t="shared" si="99"/>
        <v>0.05956659044</v>
      </c>
      <c r="G50" s="30">
        <f t="shared" si="4"/>
        <v>0.01843993519</v>
      </c>
      <c r="H50" s="30">
        <f t="shared" si="5"/>
        <v>0.05956659044</v>
      </c>
      <c r="I50" s="31">
        <f t="shared" ref="I50:J50" si="100">LN(B51/B50)</f>
        <v>0.01827198115</v>
      </c>
      <c r="J50" s="31">
        <f t="shared" si="100"/>
        <v>-0.05785994757</v>
      </c>
      <c r="K50" s="32"/>
    </row>
    <row r="51" ht="15.75" customHeight="1">
      <c r="A51" s="8">
        <v>45733.0</v>
      </c>
      <c r="B51" s="10">
        <v>132.0</v>
      </c>
      <c r="C51" s="10">
        <v>91.83</v>
      </c>
      <c r="E51" s="29">
        <f t="shared" ref="E51:F51" si="101">(B51-B52)/B52</f>
        <v>0.02270086</v>
      </c>
      <c r="F51" s="29">
        <f t="shared" si="101"/>
        <v>0.07290571328</v>
      </c>
      <c r="G51" s="30">
        <f t="shared" si="4"/>
        <v>-0.0221969697</v>
      </c>
      <c r="H51" s="30">
        <f t="shared" si="5"/>
        <v>0.07290571328</v>
      </c>
      <c r="I51" s="31">
        <f t="shared" ref="I51:J51" si="102">LN(B52/B51)</f>
        <v>-0.02244702974</v>
      </c>
      <c r="J51" s="31">
        <f t="shared" si="102"/>
        <v>-0.07037058773</v>
      </c>
      <c r="K51" s="32"/>
    </row>
    <row r="52" ht="15.75" customHeight="1">
      <c r="A52" s="8">
        <v>45726.0</v>
      </c>
      <c r="B52" s="10">
        <v>129.07</v>
      </c>
      <c r="C52" s="10">
        <v>85.59</v>
      </c>
      <c r="E52" s="29">
        <f t="shared" ref="E52:F52" si="103">(B52-B53)/B53</f>
        <v>-0.0135279731</v>
      </c>
      <c r="F52" s="29">
        <f t="shared" si="103"/>
        <v>-0.08352071956</v>
      </c>
      <c r="G52" s="30">
        <f t="shared" si="4"/>
        <v>0.0137134888</v>
      </c>
      <c r="H52" s="30">
        <f t="shared" si="5"/>
        <v>-0.08352071956</v>
      </c>
      <c r="I52" s="31">
        <f t="shared" ref="I52:J52" si="104">LN(B53/B52)</f>
        <v>0.01362030982</v>
      </c>
      <c r="J52" s="31">
        <f t="shared" si="104"/>
        <v>0.08721581923</v>
      </c>
      <c r="K52" s="32"/>
    </row>
    <row r="53" ht="15.75" customHeight="1">
      <c r="A53" s="13"/>
      <c r="B53" s="10">
        <v>130.84</v>
      </c>
      <c r="C53" s="10">
        <v>93.39</v>
      </c>
      <c r="E53" s="29"/>
      <c r="F53" s="29">
        <f t="shared" ref="F53:F54" si="105">(C53-C54)/C54</f>
        <v>-0.02749140893</v>
      </c>
      <c r="G53" s="30">
        <f t="shared" si="4"/>
        <v>-1</v>
      </c>
      <c r="H53" s="30">
        <f t="shared" si="5"/>
        <v>-0.02749140893</v>
      </c>
      <c r="I53" s="31"/>
      <c r="J53" s="31">
        <f t="shared" ref="J53:J54" si="106">LN(C54/C53)</f>
        <v>0.02787636953</v>
      </c>
      <c r="K53" s="32"/>
    </row>
    <row r="54" ht="15.75" customHeight="1">
      <c r="A54" s="13"/>
      <c r="B54" s="15"/>
      <c r="C54" s="10">
        <v>96.03</v>
      </c>
      <c r="E54" s="29"/>
      <c r="F54" s="29">
        <f t="shared" si="105"/>
        <v>0.04607843137</v>
      </c>
      <c r="G54" s="30"/>
      <c r="H54" s="30">
        <f t="shared" si="5"/>
        <v>0.04607843137</v>
      </c>
      <c r="I54" s="31"/>
      <c r="J54" s="31">
        <f t="shared" si="106"/>
        <v>-0.04504834502</v>
      </c>
      <c r="K54" s="32"/>
    </row>
    <row r="55" ht="15.75" customHeight="1">
      <c r="A55" s="13"/>
      <c r="B55" s="15"/>
      <c r="C55" s="10">
        <v>91.8</v>
      </c>
      <c r="E55" s="29"/>
      <c r="F55" s="29"/>
      <c r="G55" s="30"/>
      <c r="H55" s="30"/>
      <c r="I55" s="31"/>
      <c r="J55" s="31"/>
      <c r="K55" s="32"/>
    </row>
    <row r="56" ht="15.75" customHeight="1">
      <c r="A56" s="13"/>
      <c r="B56" s="15"/>
      <c r="C56" s="15"/>
      <c r="E56" s="29"/>
      <c r="F56" s="29"/>
      <c r="G56" s="30"/>
      <c r="H56" s="30"/>
      <c r="I56" s="31"/>
      <c r="J56" s="34"/>
      <c r="K56" s="32"/>
    </row>
    <row r="57" ht="15.75" customHeight="1">
      <c r="A57" s="13"/>
      <c r="B57" s="15"/>
      <c r="C57" s="15"/>
      <c r="E57" s="29"/>
      <c r="F57" s="29"/>
      <c r="G57" s="30"/>
      <c r="H57" s="30"/>
      <c r="I57" s="31"/>
      <c r="J57" s="34"/>
      <c r="K57" s="32"/>
    </row>
    <row r="58" ht="15.75" customHeight="1">
      <c r="A58" s="13"/>
      <c r="B58" s="15"/>
      <c r="C58" s="15"/>
      <c r="E58" s="29"/>
      <c r="F58" s="29"/>
      <c r="G58" s="30"/>
      <c r="H58" s="30"/>
      <c r="I58" s="31"/>
      <c r="J58" s="34"/>
      <c r="K58" s="32"/>
    </row>
    <row r="59" ht="15.75" customHeight="1">
      <c r="A59" s="13"/>
      <c r="B59" s="15"/>
      <c r="C59" s="15"/>
      <c r="E59" s="29"/>
      <c r="F59" s="29"/>
      <c r="G59" s="30"/>
      <c r="H59" s="30"/>
      <c r="I59" s="31"/>
      <c r="J59" s="34"/>
      <c r="K59" s="32"/>
    </row>
    <row r="60" ht="15.75" customHeight="1">
      <c r="A60" s="13"/>
      <c r="B60" s="15"/>
      <c r="C60" s="15"/>
      <c r="E60" s="29"/>
      <c r="F60" s="29"/>
      <c r="G60" s="30"/>
      <c r="H60" s="30"/>
      <c r="I60" s="31"/>
      <c r="J60" s="34"/>
      <c r="K60" s="32"/>
    </row>
    <row r="61" ht="15.75" customHeight="1">
      <c r="A61" s="13"/>
      <c r="B61" s="15"/>
      <c r="C61" s="15"/>
      <c r="E61" s="29"/>
      <c r="F61" s="29"/>
      <c r="G61" s="30"/>
      <c r="H61" s="30"/>
      <c r="I61" s="31"/>
      <c r="J61" s="34"/>
      <c r="K61" s="32"/>
    </row>
    <row r="62" ht="15.75" customHeight="1">
      <c r="A62" s="13"/>
      <c r="B62" s="15"/>
      <c r="C62" s="15"/>
      <c r="E62" s="29"/>
      <c r="F62" s="29"/>
      <c r="G62" s="30"/>
      <c r="H62" s="30"/>
      <c r="I62" s="31"/>
      <c r="J62" s="34"/>
      <c r="K62" s="32"/>
    </row>
    <row r="63" ht="15.75" customHeight="1">
      <c r="A63" s="13"/>
      <c r="B63" s="15"/>
      <c r="C63" s="15"/>
      <c r="E63" s="29"/>
      <c r="F63" s="29"/>
      <c r="G63" s="30"/>
      <c r="H63" s="30"/>
      <c r="I63" s="31"/>
      <c r="J63" s="34"/>
      <c r="K63" s="32"/>
    </row>
    <row r="64" ht="15.75" customHeight="1">
      <c r="A64" s="13"/>
      <c r="B64" s="15"/>
      <c r="C64" s="15"/>
      <c r="E64" s="29"/>
      <c r="F64" s="29"/>
      <c r="G64" s="30"/>
      <c r="H64" s="30"/>
      <c r="I64" s="31"/>
      <c r="J64" s="34"/>
      <c r="K64" s="32"/>
    </row>
    <row r="65" ht="15.75" customHeight="1">
      <c r="A65" s="13"/>
      <c r="B65" s="15"/>
      <c r="C65" s="15"/>
      <c r="E65" s="29"/>
      <c r="F65" s="29"/>
      <c r="G65" s="30"/>
      <c r="H65" s="30"/>
      <c r="I65" s="31"/>
      <c r="J65" s="34"/>
      <c r="K65" s="32"/>
    </row>
    <row r="66" ht="15.75" customHeight="1">
      <c r="A66" s="13"/>
      <c r="B66" s="15"/>
      <c r="C66" s="15"/>
      <c r="E66" s="29"/>
      <c r="F66" s="29"/>
      <c r="G66" s="30"/>
      <c r="H66" s="30"/>
      <c r="I66" s="31"/>
      <c r="J66" s="34"/>
      <c r="K66" s="32"/>
    </row>
    <row r="67" ht="15.75" customHeight="1">
      <c r="A67" s="13"/>
      <c r="B67" s="15"/>
      <c r="C67" s="15"/>
      <c r="E67" s="29"/>
      <c r="F67" s="29"/>
      <c r="G67" s="30"/>
      <c r="H67" s="30"/>
      <c r="I67" s="31"/>
      <c r="J67" s="34"/>
      <c r="K67" s="32"/>
    </row>
    <row r="68" ht="15.75" customHeight="1">
      <c r="A68" s="13"/>
      <c r="B68" s="15"/>
      <c r="C68" s="15"/>
      <c r="E68" s="29"/>
      <c r="F68" s="29"/>
      <c r="G68" s="30"/>
      <c r="H68" s="30"/>
      <c r="I68" s="31"/>
      <c r="J68" s="34"/>
      <c r="K68" s="32"/>
    </row>
    <row r="69" ht="15.75" customHeight="1">
      <c r="A69" s="13"/>
      <c r="B69" s="15"/>
      <c r="C69" s="15"/>
      <c r="E69" s="29"/>
      <c r="F69" s="29"/>
      <c r="G69" s="30"/>
      <c r="H69" s="30"/>
      <c r="I69" s="31"/>
      <c r="J69" s="34"/>
      <c r="K69" s="32"/>
    </row>
    <row r="70" ht="15.75" customHeight="1">
      <c r="A70" s="13"/>
      <c r="B70" s="15"/>
      <c r="C70" s="15"/>
      <c r="E70" s="29"/>
      <c r="F70" s="29"/>
      <c r="G70" s="30"/>
      <c r="H70" s="30"/>
      <c r="I70" s="31"/>
      <c r="J70" s="34"/>
      <c r="K70" s="32"/>
    </row>
    <row r="71" ht="15.75" customHeight="1">
      <c r="A71" s="13"/>
      <c r="B71" s="15"/>
      <c r="C71" s="15"/>
      <c r="E71" s="29"/>
      <c r="F71" s="29"/>
      <c r="G71" s="30"/>
      <c r="H71" s="30"/>
      <c r="I71" s="31"/>
      <c r="J71" s="34"/>
      <c r="K71" s="32"/>
    </row>
    <row r="72" ht="15.75" customHeight="1">
      <c r="A72" s="13"/>
      <c r="B72" s="15"/>
      <c r="C72" s="15"/>
      <c r="E72" s="29"/>
      <c r="F72" s="29"/>
      <c r="G72" s="30"/>
      <c r="H72" s="30"/>
      <c r="I72" s="31"/>
      <c r="J72" s="34"/>
      <c r="K72" s="32"/>
    </row>
    <row r="73" ht="15.75" customHeight="1">
      <c r="A73" s="13"/>
      <c r="B73" s="15"/>
      <c r="C73" s="15"/>
      <c r="E73" s="29"/>
      <c r="F73" s="29"/>
      <c r="G73" s="30"/>
      <c r="H73" s="30"/>
      <c r="I73" s="31"/>
      <c r="J73" s="34"/>
      <c r="K73" s="32"/>
    </row>
    <row r="74" ht="15.75" customHeight="1">
      <c r="A74" s="13"/>
      <c r="B74" s="15"/>
      <c r="C74" s="15"/>
      <c r="E74" s="29"/>
      <c r="F74" s="29"/>
      <c r="G74" s="30"/>
      <c r="H74" s="30"/>
      <c r="I74" s="31"/>
      <c r="J74" s="34"/>
      <c r="K74" s="32"/>
    </row>
    <row r="75" ht="15.75" customHeight="1">
      <c r="A75" s="13"/>
      <c r="B75" s="15"/>
      <c r="C75" s="15"/>
      <c r="E75" s="29"/>
      <c r="F75" s="29"/>
      <c r="G75" s="30"/>
      <c r="H75" s="30"/>
      <c r="I75" s="31"/>
      <c r="J75" s="34"/>
      <c r="K75" s="32"/>
    </row>
    <row r="76" ht="15.75" customHeight="1">
      <c r="A76" s="13"/>
      <c r="B76" s="15"/>
      <c r="C76" s="15"/>
      <c r="E76" s="29"/>
      <c r="F76" s="29"/>
      <c r="G76" s="30"/>
      <c r="H76" s="30"/>
      <c r="I76" s="31"/>
      <c r="J76" s="34"/>
      <c r="K76" s="32"/>
    </row>
    <row r="77" ht="15.75" customHeight="1">
      <c r="A77" s="13"/>
      <c r="B77" s="15"/>
      <c r="C77" s="15"/>
      <c r="E77" s="29"/>
      <c r="F77" s="29"/>
      <c r="G77" s="30"/>
      <c r="H77" s="30"/>
      <c r="I77" s="31"/>
      <c r="J77" s="34"/>
      <c r="K77" s="32"/>
    </row>
    <row r="78" ht="15.75" customHeight="1">
      <c r="A78" s="13"/>
      <c r="B78" s="15"/>
      <c r="C78" s="15"/>
      <c r="E78" s="29"/>
      <c r="F78" s="29"/>
      <c r="G78" s="30"/>
      <c r="H78" s="30"/>
      <c r="I78" s="31"/>
      <c r="J78" s="34"/>
      <c r="K78" s="32"/>
    </row>
    <row r="79" ht="15.75" customHeight="1">
      <c r="A79" s="13"/>
      <c r="B79" s="15"/>
      <c r="C79" s="15"/>
      <c r="E79" s="29"/>
      <c r="F79" s="29"/>
      <c r="G79" s="30"/>
      <c r="H79" s="30"/>
      <c r="I79" s="31"/>
      <c r="J79" s="34"/>
      <c r="K79" s="32"/>
    </row>
    <row r="80" ht="15.75" customHeight="1">
      <c r="A80" s="13"/>
      <c r="B80" s="15"/>
      <c r="C80" s="15"/>
      <c r="E80" s="29"/>
      <c r="F80" s="29"/>
      <c r="G80" s="30"/>
      <c r="H80" s="30"/>
      <c r="I80" s="31"/>
      <c r="J80" s="34"/>
      <c r="K80" s="32"/>
    </row>
    <row r="81" ht="15.75" customHeight="1">
      <c r="A81" s="13"/>
      <c r="B81" s="15"/>
      <c r="C81" s="15"/>
      <c r="E81" s="29"/>
      <c r="F81" s="29"/>
      <c r="G81" s="30"/>
      <c r="H81" s="30"/>
      <c r="I81" s="31"/>
      <c r="J81" s="34"/>
      <c r="K81" s="32"/>
    </row>
    <row r="82" ht="15.75" customHeight="1">
      <c r="A82" s="13"/>
      <c r="B82" s="15"/>
      <c r="C82" s="15"/>
      <c r="E82" s="29"/>
      <c r="F82" s="29"/>
      <c r="G82" s="30"/>
      <c r="H82" s="30"/>
      <c r="I82" s="31"/>
      <c r="J82" s="34"/>
      <c r="K82" s="32"/>
    </row>
    <row r="83" ht="15.75" customHeight="1">
      <c r="A83" s="13"/>
      <c r="B83" s="15"/>
      <c r="C83" s="15"/>
      <c r="E83" s="29"/>
      <c r="F83" s="29"/>
      <c r="G83" s="30"/>
      <c r="H83" s="30"/>
      <c r="I83" s="31"/>
      <c r="J83" s="34"/>
      <c r="K83" s="32"/>
    </row>
    <row r="84" ht="15.75" customHeight="1">
      <c r="A84" s="13"/>
      <c r="B84" s="15"/>
      <c r="C84" s="15"/>
      <c r="E84" s="29"/>
      <c r="F84" s="29"/>
      <c r="G84" s="30"/>
      <c r="H84" s="30"/>
      <c r="I84" s="31"/>
      <c r="J84" s="34"/>
      <c r="K84" s="32"/>
    </row>
    <row r="85" ht="15.75" customHeight="1">
      <c r="A85" s="13"/>
      <c r="B85" s="15"/>
      <c r="C85" s="15"/>
      <c r="E85" s="29"/>
      <c r="F85" s="29"/>
      <c r="G85" s="30"/>
      <c r="H85" s="30"/>
      <c r="I85" s="31"/>
      <c r="J85" s="34"/>
      <c r="K85" s="32"/>
    </row>
    <row r="86" ht="15.75" customHeight="1">
      <c r="A86" s="13"/>
      <c r="B86" s="15"/>
      <c r="C86" s="15"/>
      <c r="E86" s="29"/>
      <c r="F86" s="29"/>
      <c r="G86" s="30"/>
      <c r="H86" s="30"/>
      <c r="I86" s="31"/>
      <c r="J86" s="34"/>
      <c r="K86" s="32"/>
    </row>
    <row r="87" ht="15.75" customHeight="1">
      <c r="A87" s="13"/>
      <c r="B87" s="15"/>
      <c r="C87" s="15"/>
      <c r="E87" s="29"/>
      <c r="F87" s="29"/>
      <c r="G87" s="30"/>
      <c r="H87" s="30"/>
      <c r="I87" s="31"/>
      <c r="J87" s="34"/>
      <c r="K87" s="32"/>
    </row>
    <row r="88" ht="15.75" customHeight="1">
      <c r="A88" s="13"/>
      <c r="B88" s="15"/>
      <c r="C88" s="15"/>
      <c r="E88" s="29"/>
      <c r="F88" s="29"/>
      <c r="G88" s="30"/>
      <c r="H88" s="30"/>
      <c r="I88" s="31"/>
      <c r="J88" s="34"/>
      <c r="K88" s="32"/>
    </row>
    <row r="89" ht="15.75" customHeight="1">
      <c r="A89" s="13"/>
      <c r="B89" s="15"/>
      <c r="C89" s="15"/>
      <c r="E89" s="29"/>
      <c r="F89" s="29"/>
      <c r="G89" s="30"/>
      <c r="H89" s="30"/>
      <c r="I89" s="31"/>
      <c r="J89" s="34"/>
      <c r="K89" s="32"/>
    </row>
    <row r="90" ht="15.75" customHeight="1">
      <c r="A90" s="13"/>
      <c r="B90" s="15"/>
      <c r="C90" s="15"/>
      <c r="E90" s="29"/>
      <c r="F90" s="29"/>
      <c r="G90" s="30"/>
      <c r="H90" s="30"/>
      <c r="I90" s="31"/>
      <c r="J90" s="34"/>
      <c r="K90" s="32"/>
    </row>
    <row r="91" ht="15.75" customHeight="1">
      <c r="A91" s="13"/>
      <c r="B91" s="15"/>
      <c r="C91" s="15"/>
      <c r="E91" s="29"/>
      <c r="F91" s="29"/>
      <c r="G91" s="30"/>
      <c r="H91" s="30"/>
      <c r="I91" s="31"/>
      <c r="J91" s="34"/>
      <c r="K91" s="32"/>
    </row>
    <row r="92" ht="15.75" customHeight="1">
      <c r="A92" s="13"/>
      <c r="B92" s="15"/>
      <c r="C92" s="15"/>
      <c r="E92" s="29"/>
      <c r="F92" s="29"/>
      <c r="G92" s="30"/>
      <c r="H92" s="30"/>
      <c r="I92" s="31"/>
      <c r="J92" s="34"/>
      <c r="K92" s="32"/>
    </row>
    <row r="93" ht="15.75" customHeight="1">
      <c r="A93" s="13"/>
      <c r="B93" s="15"/>
      <c r="C93" s="15"/>
      <c r="E93" s="29"/>
      <c r="F93" s="29"/>
      <c r="G93" s="30"/>
      <c r="H93" s="30"/>
      <c r="I93" s="31"/>
      <c r="J93" s="34"/>
      <c r="K93" s="32"/>
    </row>
    <row r="94" ht="15.75" customHeight="1">
      <c r="A94" s="13"/>
      <c r="B94" s="15"/>
      <c r="C94" s="15"/>
      <c r="E94" s="29"/>
      <c r="F94" s="29"/>
      <c r="G94" s="30"/>
      <c r="H94" s="30"/>
      <c r="I94" s="31"/>
      <c r="J94" s="34"/>
      <c r="K94" s="32"/>
    </row>
    <row r="95" ht="15.75" customHeight="1">
      <c r="A95" s="13"/>
      <c r="B95" s="15"/>
      <c r="C95" s="15"/>
      <c r="E95" s="29"/>
      <c r="F95" s="29"/>
      <c r="G95" s="30"/>
      <c r="H95" s="30"/>
      <c r="I95" s="31"/>
      <c r="J95" s="34"/>
      <c r="K95" s="32"/>
    </row>
    <row r="96" ht="15.75" customHeight="1">
      <c r="A96" s="13"/>
      <c r="B96" s="15"/>
      <c r="C96" s="15"/>
      <c r="E96" s="29"/>
      <c r="F96" s="29"/>
      <c r="G96" s="30"/>
      <c r="H96" s="30"/>
      <c r="I96" s="31"/>
      <c r="J96" s="34"/>
      <c r="K96" s="32"/>
    </row>
    <row r="97" ht="15.75" customHeight="1">
      <c r="A97" s="13"/>
      <c r="B97" s="15"/>
      <c r="C97" s="15"/>
      <c r="E97" s="29"/>
      <c r="F97" s="29"/>
      <c r="G97" s="30"/>
      <c r="H97" s="30"/>
      <c r="I97" s="31"/>
      <c r="J97" s="34"/>
      <c r="K97" s="32"/>
    </row>
    <row r="98" ht="15.75" customHeight="1">
      <c r="A98" s="13"/>
      <c r="B98" s="15"/>
      <c r="C98" s="15"/>
      <c r="E98" s="29"/>
      <c r="F98" s="29"/>
      <c r="G98" s="30"/>
      <c r="H98" s="30"/>
      <c r="I98" s="31"/>
      <c r="J98" s="34"/>
      <c r="K98" s="32"/>
    </row>
    <row r="99" ht="15.75" customHeight="1">
      <c r="A99" s="13"/>
      <c r="B99" s="15"/>
      <c r="C99" s="15"/>
      <c r="E99" s="29"/>
      <c r="F99" s="29"/>
      <c r="G99" s="30"/>
      <c r="H99" s="30"/>
      <c r="I99" s="31"/>
      <c r="J99" s="34"/>
      <c r="K99" s="32"/>
    </row>
    <row r="100" ht="15.75" customHeight="1">
      <c r="A100" s="13"/>
      <c r="B100" s="15"/>
      <c r="C100" s="15"/>
      <c r="E100" s="29"/>
      <c r="F100" s="29"/>
      <c r="G100" s="30"/>
      <c r="H100" s="30"/>
      <c r="I100" s="31"/>
      <c r="J100" s="34"/>
      <c r="K100" s="32"/>
    </row>
    <row r="101" ht="15.75" customHeight="1">
      <c r="A101" s="13"/>
      <c r="B101" s="15"/>
      <c r="C101" s="15"/>
      <c r="E101" s="29"/>
      <c r="F101" s="29"/>
      <c r="G101" s="30"/>
      <c r="H101" s="30"/>
      <c r="I101" s="31"/>
      <c r="J101" s="34"/>
      <c r="K101" s="32"/>
    </row>
    <row r="102" ht="15.75" customHeight="1">
      <c r="A102" s="13"/>
      <c r="B102" s="15"/>
      <c r="C102" s="15"/>
      <c r="E102" s="29"/>
      <c r="F102" s="29"/>
      <c r="G102" s="30"/>
      <c r="H102" s="30"/>
      <c r="I102" s="31"/>
      <c r="J102" s="34"/>
      <c r="K102" s="32"/>
    </row>
    <row r="103" ht="15.75" customHeight="1">
      <c r="A103" s="13"/>
      <c r="B103" s="15"/>
      <c r="C103" s="15"/>
      <c r="E103" s="29"/>
      <c r="F103" s="29"/>
      <c r="G103" s="30"/>
      <c r="H103" s="30"/>
      <c r="I103" s="31"/>
      <c r="J103" s="34"/>
      <c r="K103" s="32"/>
    </row>
    <row r="104" ht="15.75" customHeight="1">
      <c r="A104" s="13"/>
      <c r="B104" s="15"/>
      <c r="C104" s="15"/>
      <c r="E104" s="29"/>
      <c r="F104" s="29"/>
      <c r="G104" s="30"/>
      <c r="H104" s="30"/>
      <c r="I104" s="31"/>
      <c r="J104" s="34"/>
      <c r="K104" s="32"/>
    </row>
    <row r="105" ht="15.75" customHeight="1">
      <c r="A105" s="13"/>
      <c r="B105" s="15"/>
      <c r="C105" s="15"/>
      <c r="E105" s="29"/>
      <c r="F105" s="29"/>
      <c r="G105" s="30"/>
      <c r="H105" s="30"/>
      <c r="I105" s="31"/>
      <c r="J105" s="34"/>
      <c r="K105" s="32"/>
    </row>
    <row r="106" ht="15.75" customHeight="1">
      <c r="A106" s="13"/>
      <c r="B106" s="15"/>
      <c r="C106" s="15"/>
      <c r="E106" s="29"/>
      <c r="F106" s="29"/>
      <c r="G106" s="30"/>
      <c r="H106" s="30"/>
      <c r="I106" s="31"/>
      <c r="J106" s="34"/>
      <c r="K106" s="32"/>
    </row>
    <row r="107" ht="15.75" customHeight="1">
      <c r="A107" s="13"/>
      <c r="B107" s="15"/>
      <c r="C107" s="15"/>
      <c r="E107" s="29"/>
      <c r="F107" s="29"/>
      <c r="G107" s="30"/>
      <c r="H107" s="30"/>
      <c r="I107" s="31"/>
      <c r="J107" s="34"/>
      <c r="K107" s="32"/>
    </row>
    <row r="108" ht="15.75" customHeight="1">
      <c r="A108" s="13"/>
      <c r="B108" s="15"/>
      <c r="C108" s="15"/>
      <c r="E108" s="29"/>
      <c r="F108" s="29"/>
      <c r="G108" s="30"/>
      <c r="H108" s="30"/>
      <c r="I108" s="31"/>
      <c r="J108" s="34"/>
      <c r="K108" s="32"/>
    </row>
    <row r="109" ht="15.75" customHeight="1">
      <c r="A109" s="13"/>
      <c r="B109" s="15"/>
      <c r="C109" s="15"/>
      <c r="E109" s="29"/>
      <c r="F109" s="29"/>
      <c r="G109" s="30"/>
      <c r="H109" s="30"/>
      <c r="I109" s="31"/>
      <c r="J109" s="34"/>
      <c r="K109" s="32"/>
    </row>
    <row r="110" ht="15.75" customHeight="1">
      <c r="A110" s="13"/>
      <c r="B110" s="15"/>
      <c r="C110" s="15"/>
      <c r="E110" s="29"/>
      <c r="F110" s="29"/>
      <c r="G110" s="30"/>
      <c r="H110" s="30"/>
      <c r="I110" s="31"/>
      <c r="J110" s="34"/>
      <c r="K110" s="32"/>
    </row>
    <row r="111" ht="15.75" customHeight="1">
      <c r="A111" s="13"/>
      <c r="B111" s="15"/>
      <c r="C111" s="15"/>
      <c r="E111" s="29"/>
      <c r="F111" s="29"/>
      <c r="G111" s="30"/>
      <c r="H111" s="30"/>
      <c r="I111" s="31"/>
      <c r="J111" s="34"/>
      <c r="K111" s="32"/>
    </row>
    <row r="112" ht="15.75" customHeight="1">
      <c r="A112" s="13"/>
      <c r="B112" s="15"/>
      <c r="C112" s="15"/>
      <c r="E112" s="29"/>
      <c r="F112" s="29"/>
      <c r="G112" s="30"/>
      <c r="H112" s="30"/>
      <c r="I112" s="31"/>
      <c r="J112" s="34"/>
      <c r="K112" s="32"/>
    </row>
    <row r="113" ht="15.75" customHeight="1">
      <c r="A113" s="13"/>
      <c r="B113" s="15"/>
      <c r="C113" s="15"/>
      <c r="E113" s="29"/>
      <c r="F113" s="29"/>
      <c r="G113" s="30"/>
      <c r="H113" s="30"/>
      <c r="I113" s="31"/>
      <c r="J113" s="34"/>
      <c r="K113" s="32"/>
    </row>
    <row r="114" ht="15.75" customHeight="1">
      <c r="A114" s="13"/>
      <c r="B114" s="15"/>
      <c r="C114" s="15"/>
      <c r="E114" s="29"/>
      <c r="F114" s="29"/>
      <c r="G114" s="30"/>
      <c r="H114" s="30"/>
      <c r="I114" s="31"/>
      <c r="J114" s="34"/>
      <c r="K114" s="32"/>
    </row>
    <row r="115" ht="15.75" customHeight="1">
      <c r="A115" s="13"/>
      <c r="B115" s="15"/>
      <c r="C115" s="15"/>
      <c r="E115" s="29"/>
      <c r="F115" s="29"/>
      <c r="G115" s="30"/>
      <c r="H115" s="30"/>
      <c r="I115" s="31"/>
      <c r="J115" s="34"/>
      <c r="K115" s="32"/>
    </row>
    <row r="116" ht="15.75" customHeight="1">
      <c r="A116" s="13"/>
      <c r="B116" s="15"/>
      <c r="C116" s="15"/>
      <c r="E116" s="29"/>
      <c r="F116" s="29"/>
      <c r="G116" s="30"/>
      <c r="H116" s="30"/>
      <c r="I116" s="31"/>
      <c r="J116" s="34"/>
      <c r="K116" s="32"/>
    </row>
    <row r="117" ht="15.75" customHeight="1">
      <c r="A117" s="13"/>
      <c r="B117" s="15"/>
      <c r="C117" s="15"/>
      <c r="E117" s="29"/>
      <c r="F117" s="29"/>
      <c r="G117" s="30"/>
      <c r="H117" s="30"/>
      <c r="I117" s="31"/>
      <c r="J117" s="34"/>
      <c r="K117" s="32"/>
    </row>
    <row r="118" ht="15.75" customHeight="1">
      <c r="A118" s="13"/>
      <c r="B118" s="15"/>
      <c r="C118" s="15"/>
      <c r="E118" s="29"/>
      <c r="F118" s="29"/>
      <c r="G118" s="30"/>
      <c r="H118" s="30"/>
      <c r="I118" s="31"/>
      <c r="J118" s="34"/>
      <c r="K118" s="32"/>
    </row>
    <row r="119" ht="15.75" customHeight="1">
      <c r="A119" s="13"/>
      <c r="B119" s="15"/>
      <c r="C119" s="15"/>
      <c r="E119" s="29"/>
      <c r="F119" s="29"/>
      <c r="G119" s="30"/>
      <c r="H119" s="30"/>
      <c r="I119" s="31"/>
      <c r="J119" s="34"/>
      <c r="K119" s="32"/>
    </row>
    <row r="120" ht="15.75" customHeight="1">
      <c r="A120" s="13"/>
      <c r="B120" s="15"/>
      <c r="C120" s="15"/>
      <c r="E120" s="29"/>
      <c r="F120" s="29"/>
      <c r="G120" s="30"/>
      <c r="H120" s="30"/>
      <c r="I120" s="31"/>
      <c r="J120" s="34"/>
      <c r="K120" s="32"/>
    </row>
    <row r="121" ht="15.75" customHeight="1">
      <c r="A121" s="13"/>
      <c r="B121" s="15"/>
      <c r="C121" s="15"/>
      <c r="E121" s="29"/>
      <c r="F121" s="29"/>
      <c r="G121" s="30"/>
      <c r="H121" s="30"/>
      <c r="I121" s="31"/>
      <c r="J121" s="34"/>
      <c r="K121" s="32"/>
    </row>
    <row r="122" ht="15.75" customHeight="1">
      <c r="A122" s="13"/>
      <c r="B122" s="15"/>
      <c r="C122" s="15"/>
      <c r="E122" s="29"/>
      <c r="F122" s="29"/>
      <c r="G122" s="30"/>
      <c r="H122" s="30"/>
      <c r="I122" s="31"/>
      <c r="J122" s="34"/>
      <c r="K122" s="32"/>
    </row>
    <row r="123" ht="15.75" customHeight="1">
      <c r="A123" s="13"/>
      <c r="B123" s="15"/>
      <c r="C123" s="15"/>
      <c r="E123" s="29"/>
      <c r="F123" s="29"/>
      <c r="G123" s="30"/>
      <c r="H123" s="30"/>
      <c r="I123" s="31"/>
      <c r="J123" s="34"/>
      <c r="K123" s="32"/>
    </row>
    <row r="124" ht="15.75" customHeight="1">
      <c r="A124" s="13"/>
      <c r="B124" s="15"/>
      <c r="C124" s="15"/>
      <c r="E124" s="29"/>
      <c r="F124" s="29"/>
      <c r="G124" s="30"/>
      <c r="H124" s="30"/>
      <c r="I124" s="31"/>
      <c r="J124" s="34"/>
      <c r="K124" s="32"/>
    </row>
    <row r="125" ht="15.75" customHeight="1">
      <c r="A125" s="13"/>
      <c r="B125" s="15"/>
      <c r="C125" s="15"/>
      <c r="E125" s="29"/>
      <c r="F125" s="29"/>
      <c r="G125" s="30"/>
      <c r="H125" s="30"/>
      <c r="I125" s="31"/>
      <c r="J125" s="34"/>
      <c r="K125" s="32"/>
    </row>
    <row r="126" ht="15.75" customHeight="1">
      <c r="A126" s="13"/>
      <c r="B126" s="15"/>
      <c r="C126" s="15"/>
      <c r="E126" s="29"/>
      <c r="F126" s="29"/>
      <c r="G126" s="30"/>
      <c r="H126" s="30"/>
      <c r="I126" s="31"/>
      <c r="J126" s="34"/>
      <c r="K126" s="32"/>
    </row>
    <row r="127" ht="15.75" customHeight="1">
      <c r="A127" s="13"/>
      <c r="B127" s="15"/>
      <c r="C127" s="15"/>
      <c r="E127" s="29"/>
      <c r="F127" s="29"/>
      <c r="G127" s="30"/>
      <c r="H127" s="30"/>
      <c r="I127" s="31"/>
      <c r="J127" s="34"/>
      <c r="K127" s="32"/>
    </row>
    <row r="128" ht="15.75" customHeight="1">
      <c r="A128" s="13"/>
      <c r="B128" s="15"/>
      <c r="C128" s="15"/>
      <c r="E128" s="29"/>
      <c r="F128" s="29"/>
      <c r="G128" s="30"/>
      <c r="H128" s="30"/>
      <c r="I128" s="31"/>
      <c r="J128" s="34"/>
      <c r="K128" s="32"/>
    </row>
    <row r="129" ht="15.75" customHeight="1">
      <c r="A129" s="13"/>
      <c r="B129" s="15"/>
      <c r="C129" s="15"/>
      <c r="E129" s="29"/>
      <c r="F129" s="29"/>
      <c r="G129" s="30"/>
      <c r="H129" s="30"/>
      <c r="I129" s="31"/>
      <c r="J129" s="34"/>
      <c r="K129" s="32"/>
    </row>
    <row r="130" ht="15.75" customHeight="1">
      <c r="A130" s="13"/>
      <c r="B130" s="15"/>
      <c r="C130" s="15"/>
      <c r="E130" s="29"/>
      <c r="F130" s="29"/>
      <c r="G130" s="30"/>
      <c r="H130" s="30"/>
      <c r="I130" s="31"/>
      <c r="J130" s="34"/>
      <c r="K130" s="32"/>
    </row>
    <row r="131" ht="15.75" customHeight="1">
      <c r="A131" s="13"/>
      <c r="B131" s="15"/>
      <c r="C131" s="15"/>
      <c r="E131" s="29"/>
      <c r="F131" s="29"/>
      <c r="G131" s="30"/>
      <c r="H131" s="30"/>
      <c r="I131" s="31"/>
      <c r="J131" s="34"/>
      <c r="K131" s="32"/>
    </row>
    <row r="132" ht="15.75" customHeight="1">
      <c r="A132" s="13"/>
      <c r="B132" s="15"/>
      <c r="C132" s="15"/>
      <c r="E132" s="29"/>
      <c r="F132" s="29"/>
      <c r="G132" s="30"/>
      <c r="H132" s="30"/>
      <c r="I132" s="31"/>
      <c r="J132" s="34"/>
      <c r="K132" s="32"/>
    </row>
    <row r="133" ht="15.75" customHeight="1">
      <c r="A133" s="13"/>
      <c r="B133" s="15"/>
      <c r="C133" s="15"/>
      <c r="E133" s="29"/>
      <c r="F133" s="29"/>
      <c r="G133" s="30"/>
      <c r="H133" s="30"/>
      <c r="I133" s="31"/>
      <c r="J133" s="34"/>
      <c r="K133" s="32"/>
    </row>
    <row r="134" ht="15.75" customHeight="1">
      <c r="A134" s="13"/>
      <c r="B134" s="15"/>
      <c r="C134" s="15"/>
      <c r="E134" s="29"/>
      <c r="F134" s="29"/>
      <c r="G134" s="30"/>
      <c r="H134" s="30"/>
      <c r="I134" s="31"/>
      <c r="J134" s="34"/>
      <c r="K134" s="32"/>
    </row>
    <row r="135" ht="15.75" customHeight="1">
      <c r="A135" s="13"/>
      <c r="B135" s="15"/>
      <c r="C135" s="15"/>
      <c r="E135" s="29"/>
      <c r="F135" s="29"/>
      <c r="G135" s="30"/>
      <c r="H135" s="30"/>
      <c r="I135" s="31"/>
      <c r="J135" s="34"/>
      <c r="K135" s="32"/>
    </row>
    <row r="136" ht="15.75" customHeight="1">
      <c r="A136" s="13"/>
      <c r="B136" s="15"/>
      <c r="C136" s="15"/>
      <c r="E136" s="29"/>
      <c r="F136" s="29"/>
      <c r="G136" s="30"/>
      <c r="H136" s="30"/>
      <c r="I136" s="31"/>
      <c r="J136" s="34"/>
      <c r="K136" s="32"/>
    </row>
    <row r="137" ht="15.75" customHeight="1">
      <c r="A137" s="13"/>
      <c r="B137" s="15"/>
      <c r="C137" s="15"/>
      <c r="E137" s="29"/>
      <c r="F137" s="29"/>
      <c r="G137" s="30"/>
      <c r="H137" s="30"/>
      <c r="I137" s="31"/>
      <c r="J137" s="34"/>
      <c r="K137" s="32"/>
    </row>
    <row r="138" ht="15.75" customHeight="1">
      <c r="A138" s="13"/>
      <c r="B138" s="15"/>
      <c r="C138" s="15"/>
      <c r="E138" s="29"/>
      <c r="F138" s="29"/>
      <c r="G138" s="30"/>
      <c r="H138" s="30"/>
      <c r="I138" s="31"/>
      <c r="J138" s="34"/>
      <c r="K138" s="32"/>
    </row>
    <row r="139" ht="15.75" customHeight="1">
      <c r="A139" s="13"/>
      <c r="B139" s="15"/>
      <c r="C139" s="15"/>
      <c r="E139" s="29"/>
      <c r="F139" s="29"/>
      <c r="G139" s="30"/>
      <c r="H139" s="30"/>
      <c r="I139" s="31"/>
      <c r="J139" s="34"/>
      <c r="K139" s="32"/>
    </row>
    <row r="140" ht="15.75" customHeight="1">
      <c r="A140" s="13"/>
      <c r="B140" s="15"/>
      <c r="C140" s="15"/>
      <c r="E140" s="29"/>
      <c r="F140" s="29"/>
      <c r="G140" s="30"/>
      <c r="H140" s="30"/>
      <c r="I140" s="31"/>
      <c r="J140" s="34"/>
      <c r="K140" s="32"/>
    </row>
    <row r="141" ht="15.75" customHeight="1">
      <c r="A141" s="13"/>
      <c r="B141" s="15"/>
      <c r="C141" s="15"/>
      <c r="E141" s="29"/>
      <c r="F141" s="29"/>
      <c r="G141" s="30"/>
      <c r="H141" s="30"/>
      <c r="I141" s="31"/>
      <c r="J141" s="34"/>
      <c r="K141" s="32"/>
    </row>
    <row r="142" ht="15.75" customHeight="1">
      <c r="A142" s="13"/>
      <c r="B142" s="15"/>
      <c r="C142" s="15"/>
      <c r="E142" s="29"/>
      <c r="F142" s="29"/>
      <c r="G142" s="30"/>
      <c r="H142" s="30"/>
      <c r="I142" s="31"/>
      <c r="J142" s="34"/>
      <c r="K142" s="32"/>
    </row>
    <row r="143" ht="15.75" customHeight="1">
      <c r="A143" s="13"/>
      <c r="B143" s="15"/>
      <c r="C143" s="15"/>
      <c r="E143" s="29"/>
      <c r="F143" s="29"/>
      <c r="G143" s="30"/>
      <c r="H143" s="30"/>
      <c r="I143" s="31"/>
      <c r="J143" s="34"/>
      <c r="K143" s="32"/>
    </row>
    <row r="144" ht="15.75" customHeight="1">
      <c r="A144" s="13"/>
      <c r="B144" s="15"/>
      <c r="C144" s="15"/>
      <c r="E144" s="29"/>
      <c r="F144" s="29"/>
      <c r="G144" s="30"/>
      <c r="H144" s="30"/>
      <c r="I144" s="31"/>
      <c r="J144" s="34"/>
      <c r="K144" s="32"/>
    </row>
    <row r="145" ht="15.75" customHeight="1">
      <c r="A145" s="13"/>
      <c r="B145" s="15"/>
      <c r="C145" s="15"/>
      <c r="E145" s="29"/>
      <c r="F145" s="29"/>
      <c r="G145" s="30"/>
      <c r="H145" s="30"/>
      <c r="I145" s="31"/>
      <c r="J145" s="34"/>
      <c r="K145" s="32"/>
    </row>
    <row r="146" ht="15.75" customHeight="1">
      <c r="A146" s="13"/>
      <c r="B146" s="15"/>
      <c r="C146" s="15"/>
      <c r="E146" s="29"/>
      <c r="F146" s="29"/>
      <c r="G146" s="30"/>
      <c r="H146" s="30"/>
      <c r="I146" s="31"/>
      <c r="J146" s="34"/>
      <c r="K146" s="32"/>
    </row>
    <row r="147" ht="15.75" customHeight="1">
      <c r="A147" s="13"/>
      <c r="B147" s="15"/>
      <c r="C147" s="15"/>
      <c r="E147" s="29"/>
      <c r="F147" s="29"/>
      <c r="G147" s="30"/>
      <c r="H147" s="30"/>
      <c r="I147" s="31"/>
      <c r="J147" s="34"/>
      <c r="K147" s="32"/>
    </row>
    <row r="148" ht="15.75" customHeight="1">
      <c r="A148" s="13"/>
      <c r="B148" s="15"/>
      <c r="C148" s="15"/>
      <c r="E148" s="29"/>
      <c r="F148" s="29"/>
      <c r="G148" s="30"/>
      <c r="H148" s="30"/>
      <c r="I148" s="31"/>
      <c r="J148" s="34"/>
      <c r="K148" s="32"/>
    </row>
    <row r="149" ht="15.75" customHeight="1">
      <c r="A149" s="13"/>
      <c r="B149" s="15"/>
      <c r="C149" s="15"/>
      <c r="E149" s="29"/>
      <c r="F149" s="29"/>
      <c r="G149" s="30"/>
      <c r="H149" s="30"/>
      <c r="I149" s="31"/>
      <c r="J149" s="34"/>
      <c r="K149" s="32"/>
    </row>
    <row r="150" ht="15.75" customHeight="1">
      <c r="A150" s="13"/>
      <c r="B150" s="15"/>
      <c r="C150" s="15"/>
      <c r="E150" s="29"/>
      <c r="F150" s="29"/>
      <c r="G150" s="30"/>
      <c r="H150" s="30"/>
      <c r="I150" s="31"/>
      <c r="J150" s="34"/>
      <c r="K150" s="32"/>
    </row>
    <row r="151" ht="15.75" customHeight="1">
      <c r="A151" s="13"/>
      <c r="B151" s="15"/>
      <c r="C151" s="15"/>
      <c r="E151" s="29"/>
      <c r="F151" s="29"/>
      <c r="G151" s="30"/>
      <c r="H151" s="30"/>
      <c r="I151" s="31"/>
      <c r="J151" s="34"/>
      <c r="K151" s="32"/>
    </row>
    <row r="152" ht="15.75" customHeight="1">
      <c r="A152" s="13"/>
      <c r="B152" s="15"/>
      <c r="C152" s="15"/>
      <c r="E152" s="29"/>
      <c r="F152" s="29"/>
      <c r="G152" s="30"/>
      <c r="H152" s="30"/>
      <c r="I152" s="31"/>
      <c r="J152" s="34"/>
      <c r="K152" s="32"/>
    </row>
    <row r="153" ht="15.75" customHeight="1">
      <c r="A153" s="13"/>
      <c r="B153" s="15"/>
      <c r="C153" s="15"/>
      <c r="E153" s="29"/>
      <c r="F153" s="29"/>
      <c r="G153" s="30"/>
      <c r="H153" s="30"/>
      <c r="I153" s="31"/>
      <c r="J153" s="34"/>
      <c r="K153" s="32"/>
    </row>
    <row r="154" ht="15.75" customHeight="1">
      <c r="A154" s="13"/>
      <c r="B154" s="15"/>
      <c r="C154" s="15"/>
      <c r="E154" s="29"/>
      <c r="F154" s="29"/>
      <c r="G154" s="30"/>
      <c r="H154" s="30"/>
      <c r="I154" s="31"/>
      <c r="J154" s="34"/>
      <c r="K154" s="32"/>
    </row>
    <row r="155" ht="15.75" customHeight="1">
      <c r="A155" s="13"/>
      <c r="B155" s="15"/>
      <c r="C155" s="15"/>
      <c r="E155" s="29"/>
      <c r="F155" s="29"/>
      <c r="G155" s="30"/>
      <c r="H155" s="30"/>
      <c r="I155" s="31"/>
      <c r="J155" s="34"/>
      <c r="K155" s="32"/>
    </row>
    <row r="156" ht="15.75" customHeight="1">
      <c r="A156" s="13"/>
      <c r="B156" s="15"/>
      <c r="C156" s="15"/>
      <c r="E156" s="29"/>
      <c r="F156" s="29"/>
      <c r="G156" s="30"/>
      <c r="H156" s="30"/>
      <c r="I156" s="31"/>
      <c r="J156" s="34"/>
      <c r="K156" s="32"/>
    </row>
    <row r="157" ht="15.75" customHeight="1">
      <c r="A157" s="13"/>
      <c r="B157" s="15"/>
      <c r="C157" s="15"/>
      <c r="E157" s="29"/>
      <c r="F157" s="29"/>
      <c r="G157" s="30"/>
      <c r="H157" s="30"/>
      <c r="I157" s="31"/>
      <c r="J157" s="34"/>
      <c r="K157" s="32"/>
    </row>
    <row r="158" ht="15.75" customHeight="1">
      <c r="A158" s="13"/>
      <c r="B158" s="15"/>
      <c r="C158" s="15"/>
      <c r="E158" s="29"/>
      <c r="F158" s="29"/>
      <c r="G158" s="30"/>
      <c r="H158" s="30"/>
      <c r="I158" s="31"/>
      <c r="J158" s="34"/>
      <c r="K158" s="32"/>
    </row>
    <row r="159" ht="15.75" customHeight="1">
      <c r="A159" s="13"/>
      <c r="C159" s="15"/>
      <c r="E159" s="29"/>
      <c r="F159" s="29"/>
      <c r="G159" s="30"/>
      <c r="H159" s="30"/>
      <c r="I159" s="31"/>
      <c r="J159" s="34"/>
      <c r="K159" s="32"/>
    </row>
    <row r="160" ht="15.75" customHeight="1">
      <c r="A160" s="13"/>
      <c r="B160" s="15"/>
      <c r="C160" s="15"/>
      <c r="E160" s="29"/>
      <c r="F160" s="29"/>
      <c r="G160" s="30"/>
      <c r="H160" s="30"/>
      <c r="I160" s="31"/>
      <c r="J160" s="34"/>
      <c r="K160" s="32"/>
    </row>
    <row r="161" ht="15.75" customHeight="1">
      <c r="A161" s="13"/>
      <c r="B161" s="15"/>
      <c r="C161" s="15"/>
      <c r="E161" s="29"/>
      <c r="F161" s="29"/>
      <c r="G161" s="30"/>
      <c r="H161" s="30"/>
      <c r="I161" s="31"/>
      <c r="J161" s="34"/>
      <c r="K161" s="32"/>
    </row>
    <row r="162" ht="15.75" customHeight="1">
      <c r="A162" s="13"/>
      <c r="B162" s="15"/>
      <c r="C162" s="15"/>
      <c r="E162" s="29"/>
      <c r="F162" s="29"/>
      <c r="G162" s="30"/>
      <c r="H162" s="30"/>
      <c r="I162" s="31"/>
      <c r="J162" s="34"/>
      <c r="K162" s="32"/>
    </row>
    <row r="163" ht="15.75" customHeight="1">
      <c r="A163" s="13"/>
      <c r="B163" s="15"/>
      <c r="C163" s="15"/>
      <c r="E163" s="29"/>
      <c r="F163" s="29"/>
      <c r="G163" s="30"/>
      <c r="H163" s="30"/>
      <c r="I163" s="31"/>
      <c r="J163" s="34"/>
      <c r="K163" s="32"/>
    </row>
    <row r="164" ht="15.75" customHeight="1">
      <c r="A164" s="13"/>
      <c r="B164" s="15"/>
      <c r="C164" s="15"/>
      <c r="E164" s="29"/>
      <c r="F164" s="29"/>
      <c r="G164" s="30"/>
      <c r="H164" s="30"/>
      <c r="I164" s="31"/>
      <c r="J164" s="34"/>
      <c r="K164" s="32"/>
    </row>
    <row r="165" ht="15.75" customHeight="1">
      <c r="A165" s="13"/>
      <c r="B165" s="15"/>
      <c r="E165" s="29"/>
      <c r="F165" s="29"/>
      <c r="G165" s="30"/>
      <c r="H165" s="30"/>
      <c r="I165" s="31"/>
      <c r="J165" s="34"/>
      <c r="K165" s="32"/>
    </row>
    <row r="166" ht="15.75" customHeight="1">
      <c r="A166" s="13"/>
      <c r="B166" s="15"/>
      <c r="C166" s="15"/>
      <c r="E166" s="29"/>
      <c r="F166" s="29"/>
      <c r="G166" s="30"/>
      <c r="H166" s="30"/>
      <c r="I166" s="31"/>
      <c r="J166" s="34"/>
      <c r="K166" s="32"/>
    </row>
    <row r="167" ht="15.75" customHeight="1">
      <c r="A167" s="13"/>
      <c r="B167" s="15"/>
      <c r="C167" s="15"/>
      <c r="E167" s="29"/>
      <c r="F167" s="29"/>
      <c r="G167" s="30"/>
      <c r="H167" s="30"/>
      <c r="I167" s="31"/>
      <c r="J167" s="34"/>
      <c r="K167" s="32"/>
    </row>
    <row r="168" ht="15.75" customHeight="1">
      <c r="A168" s="13"/>
      <c r="B168" s="15"/>
      <c r="C168" s="15"/>
      <c r="E168" s="29"/>
      <c r="F168" s="29"/>
      <c r="G168" s="30"/>
      <c r="H168" s="30"/>
      <c r="I168" s="31"/>
      <c r="J168" s="34"/>
      <c r="K168" s="32"/>
    </row>
    <row r="169" ht="15.75" customHeight="1">
      <c r="A169" s="13"/>
      <c r="B169" s="15"/>
      <c r="C169" s="15"/>
      <c r="E169" s="29"/>
      <c r="F169" s="29"/>
      <c r="G169" s="30"/>
      <c r="H169" s="30"/>
      <c r="I169" s="31"/>
      <c r="J169" s="34"/>
      <c r="K169" s="32"/>
    </row>
    <row r="170" ht="15.75" customHeight="1">
      <c r="A170" s="13"/>
      <c r="B170" s="15"/>
      <c r="C170" s="15"/>
      <c r="E170" s="29"/>
      <c r="F170" s="29"/>
      <c r="G170" s="30"/>
      <c r="H170" s="30"/>
      <c r="I170" s="31"/>
      <c r="J170" s="34"/>
      <c r="K170" s="32"/>
    </row>
    <row r="171" ht="15.75" customHeight="1">
      <c r="A171" s="13"/>
      <c r="B171" s="15"/>
      <c r="C171" s="15"/>
      <c r="E171" s="29"/>
      <c r="F171" s="29"/>
      <c r="G171" s="30"/>
      <c r="H171" s="30"/>
      <c r="I171" s="31"/>
      <c r="J171" s="34"/>
      <c r="K171" s="32"/>
    </row>
    <row r="172" ht="15.75" customHeight="1">
      <c r="A172" s="13"/>
      <c r="B172" s="15"/>
      <c r="C172" s="15"/>
      <c r="E172" s="29"/>
      <c r="F172" s="29"/>
      <c r="G172" s="30"/>
      <c r="H172" s="30"/>
      <c r="I172" s="31"/>
      <c r="J172" s="34"/>
      <c r="K172" s="32"/>
    </row>
    <row r="173" ht="15.75" customHeight="1">
      <c r="A173" s="13"/>
      <c r="B173" s="15"/>
      <c r="C173" s="15"/>
      <c r="E173" s="29"/>
      <c r="F173" s="29"/>
      <c r="G173" s="30"/>
      <c r="H173" s="30"/>
      <c r="I173" s="31"/>
      <c r="J173" s="34"/>
      <c r="K173" s="32"/>
    </row>
    <row r="174" ht="15.75" customHeight="1">
      <c r="A174" s="13"/>
      <c r="B174" s="15"/>
      <c r="C174" s="15"/>
      <c r="E174" s="29"/>
      <c r="F174" s="29"/>
      <c r="G174" s="30"/>
      <c r="H174" s="30"/>
      <c r="I174" s="31"/>
      <c r="J174" s="34"/>
      <c r="K174" s="32"/>
    </row>
    <row r="175" ht="15.75" customHeight="1">
      <c r="A175" s="13"/>
      <c r="B175" s="15"/>
      <c r="C175" s="15"/>
      <c r="E175" s="29"/>
      <c r="F175" s="29"/>
      <c r="G175" s="30"/>
      <c r="H175" s="30"/>
      <c r="I175" s="31"/>
      <c r="J175" s="34"/>
      <c r="K175" s="32"/>
    </row>
    <row r="176" ht="15.75" customHeight="1">
      <c r="A176" s="13"/>
      <c r="B176" s="15"/>
      <c r="C176" s="15"/>
      <c r="E176" s="29"/>
      <c r="F176" s="29"/>
      <c r="G176" s="30"/>
      <c r="H176" s="30"/>
      <c r="I176" s="31"/>
      <c r="J176" s="34"/>
      <c r="K176" s="32"/>
    </row>
    <row r="177" ht="15.75" customHeight="1">
      <c r="A177" s="13"/>
      <c r="B177" s="15"/>
      <c r="C177" s="15"/>
      <c r="E177" s="29"/>
      <c r="F177" s="29"/>
      <c r="G177" s="30"/>
      <c r="H177" s="30"/>
      <c r="I177" s="31"/>
      <c r="J177" s="34"/>
      <c r="K177" s="32"/>
    </row>
    <row r="178" ht="15.75" customHeight="1">
      <c r="A178" s="13"/>
      <c r="B178" s="15"/>
      <c r="C178" s="15"/>
      <c r="E178" s="29"/>
      <c r="F178" s="29"/>
      <c r="G178" s="30"/>
      <c r="H178" s="30"/>
      <c r="I178" s="31"/>
      <c r="J178" s="34"/>
      <c r="K178" s="32"/>
    </row>
    <row r="179" ht="15.75" customHeight="1">
      <c r="A179" s="13"/>
      <c r="B179" s="15"/>
      <c r="C179" s="15"/>
      <c r="E179" s="29"/>
      <c r="F179" s="29"/>
      <c r="G179" s="30"/>
      <c r="H179" s="30"/>
      <c r="I179" s="31"/>
      <c r="J179" s="34"/>
      <c r="K179" s="32"/>
    </row>
    <row r="180" ht="15.75" customHeight="1">
      <c r="A180" s="13"/>
      <c r="B180" s="15"/>
      <c r="C180" s="15"/>
      <c r="E180" s="29"/>
      <c r="F180" s="29"/>
      <c r="G180" s="30"/>
      <c r="H180" s="30"/>
      <c r="I180" s="31"/>
      <c r="J180" s="34"/>
      <c r="K180" s="32"/>
    </row>
    <row r="181" ht="15.75" customHeight="1">
      <c r="A181" s="13"/>
      <c r="B181" s="15"/>
      <c r="C181" s="15"/>
      <c r="E181" s="29"/>
      <c r="F181" s="29"/>
      <c r="G181" s="30"/>
      <c r="H181" s="30"/>
      <c r="I181" s="31"/>
      <c r="J181" s="34"/>
      <c r="K181" s="32"/>
    </row>
    <row r="182" ht="15.75" customHeight="1">
      <c r="A182" s="13"/>
      <c r="B182" s="15"/>
      <c r="C182" s="15"/>
      <c r="E182" s="29"/>
      <c r="F182" s="29"/>
      <c r="G182" s="30"/>
      <c r="H182" s="30"/>
      <c r="I182" s="31"/>
      <c r="J182" s="34"/>
      <c r="K182" s="32"/>
    </row>
    <row r="183" ht="15.75" customHeight="1">
      <c r="A183" s="13"/>
      <c r="B183" s="15"/>
      <c r="C183" s="15"/>
      <c r="E183" s="29"/>
      <c r="F183" s="29"/>
      <c r="G183" s="30"/>
      <c r="H183" s="30"/>
      <c r="I183" s="31"/>
      <c r="J183" s="34"/>
      <c r="K183" s="32"/>
    </row>
    <row r="184" ht="15.75" customHeight="1">
      <c r="A184" s="13"/>
      <c r="B184" s="15"/>
      <c r="C184" s="15"/>
      <c r="E184" s="29"/>
      <c r="F184" s="29"/>
      <c r="G184" s="30"/>
      <c r="H184" s="30"/>
      <c r="I184" s="31"/>
      <c r="J184" s="34"/>
      <c r="K184" s="32"/>
    </row>
    <row r="185" ht="15.75" customHeight="1">
      <c r="A185" s="13"/>
      <c r="B185" s="15"/>
      <c r="C185" s="15"/>
      <c r="E185" s="29"/>
      <c r="F185" s="29"/>
      <c r="G185" s="30"/>
      <c r="H185" s="30"/>
      <c r="I185" s="31"/>
      <c r="J185" s="34"/>
      <c r="K185" s="32"/>
    </row>
    <row r="186" ht="15.75" customHeight="1">
      <c r="A186" s="13"/>
      <c r="B186" s="15"/>
      <c r="C186" s="15"/>
      <c r="E186" s="29"/>
      <c r="F186" s="29"/>
      <c r="G186" s="30"/>
      <c r="H186" s="30"/>
      <c r="I186" s="31"/>
      <c r="J186" s="34"/>
      <c r="K186" s="32"/>
    </row>
    <row r="187" ht="15.75" customHeight="1">
      <c r="A187" s="13"/>
      <c r="B187" s="15"/>
      <c r="C187" s="15"/>
      <c r="E187" s="29"/>
      <c r="F187" s="29"/>
      <c r="G187" s="30"/>
      <c r="H187" s="30"/>
      <c r="I187" s="31"/>
      <c r="J187" s="34"/>
      <c r="K187" s="32"/>
    </row>
    <row r="188" ht="15.75" customHeight="1">
      <c r="A188" s="13"/>
      <c r="B188" s="15"/>
      <c r="C188" s="15"/>
      <c r="E188" s="29"/>
      <c r="F188" s="29"/>
      <c r="G188" s="30"/>
      <c r="H188" s="30"/>
      <c r="I188" s="31"/>
      <c r="J188" s="34"/>
      <c r="K188" s="32"/>
    </row>
    <row r="189" ht="15.75" customHeight="1">
      <c r="A189" s="13"/>
      <c r="B189" s="15"/>
      <c r="C189" s="15"/>
      <c r="E189" s="29"/>
      <c r="F189" s="29"/>
      <c r="G189" s="30"/>
      <c r="H189" s="30"/>
      <c r="I189" s="31"/>
      <c r="J189" s="34"/>
      <c r="K189" s="32"/>
    </row>
    <row r="190" ht="15.75" customHeight="1">
      <c r="A190" s="13"/>
      <c r="B190" s="15"/>
      <c r="C190" s="15"/>
      <c r="E190" s="29"/>
      <c r="F190" s="29"/>
      <c r="G190" s="30"/>
      <c r="H190" s="30"/>
      <c r="I190" s="31"/>
      <c r="J190" s="34"/>
      <c r="K190" s="32"/>
    </row>
    <row r="191" ht="15.75" customHeight="1">
      <c r="A191" s="13"/>
      <c r="B191" s="15"/>
      <c r="C191" s="15"/>
      <c r="E191" s="29"/>
      <c r="F191" s="29"/>
      <c r="G191" s="30"/>
      <c r="H191" s="30"/>
      <c r="I191" s="31"/>
      <c r="J191" s="34"/>
      <c r="K191" s="32"/>
    </row>
    <row r="192" ht="15.75" customHeight="1">
      <c r="A192" s="13"/>
      <c r="B192" s="15"/>
      <c r="C192" s="15"/>
      <c r="E192" s="29"/>
      <c r="F192" s="29"/>
      <c r="G192" s="30"/>
      <c r="H192" s="30"/>
      <c r="I192" s="31"/>
      <c r="J192" s="34"/>
      <c r="K192" s="32"/>
    </row>
    <row r="193" ht="15.75" customHeight="1">
      <c r="A193" s="13"/>
      <c r="B193" s="15"/>
      <c r="C193" s="15"/>
      <c r="E193" s="29"/>
      <c r="F193" s="29"/>
      <c r="G193" s="30"/>
      <c r="H193" s="30"/>
      <c r="I193" s="31"/>
      <c r="J193" s="34"/>
      <c r="K193" s="32"/>
    </row>
    <row r="194" ht="15.75" customHeight="1">
      <c r="A194" s="13"/>
      <c r="B194" s="15"/>
      <c r="C194" s="15"/>
      <c r="E194" s="29"/>
      <c r="F194" s="29"/>
      <c r="G194" s="30"/>
      <c r="H194" s="30"/>
      <c r="I194" s="31"/>
      <c r="J194" s="34"/>
      <c r="K194" s="32"/>
    </row>
    <row r="195" ht="15.75" customHeight="1">
      <c r="A195" s="13"/>
      <c r="B195" s="15"/>
      <c r="C195" s="15"/>
      <c r="E195" s="29"/>
      <c r="F195" s="29"/>
      <c r="G195" s="30"/>
      <c r="H195" s="30"/>
      <c r="I195" s="31"/>
      <c r="J195" s="34"/>
      <c r="K195" s="32"/>
    </row>
    <row r="196" ht="15.75" customHeight="1">
      <c r="A196" s="13"/>
      <c r="B196" s="15"/>
      <c r="C196" s="15"/>
      <c r="E196" s="29"/>
      <c r="F196" s="29"/>
      <c r="G196" s="30"/>
      <c r="H196" s="30"/>
      <c r="I196" s="31"/>
      <c r="J196" s="34"/>
      <c r="K196" s="32"/>
    </row>
    <row r="197" ht="15.75" customHeight="1">
      <c r="A197" s="13"/>
      <c r="B197" s="15"/>
      <c r="C197" s="15"/>
      <c r="E197" s="29"/>
      <c r="F197" s="29"/>
      <c r="G197" s="30"/>
      <c r="H197" s="30"/>
      <c r="I197" s="31"/>
      <c r="J197" s="34"/>
      <c r="K197" s="32"/>
    </row>
    <row r="198" ht="15.75" customHeight="1">
      <c r="A198" s="13"/>
      <c r="B198" s="15"/>
      <c r="C198" s="15"/>
      <c r="E198" s="29"/>
      <c r="F198" s="29"/>
      <c r="G198" s="30"/>
      <c r="H198" s="30"/>
      <c r="I198" s="31"/>
      <c r="J198" s="34"/>
      <c r="K198" s="32"/>
    </row>
    <row r="199" ht="15.75" customHeight="1">
      <c r="A199" s="13"/>
      <c r="B199" s="15"/>
      <c r="C199" s="15"/>
      <c r="E199" s="29"/>
      <c r="F199" s="29"/>
      <c r="G199" s="30"/>
      <c r="H199" s="30"/>
      <c r="I199" s="31"/>
      <c r="J199" s="34"/>
      <c r="K199" s="32"/>
    </row>
    <row r="200" ht="15.75" customHeight="1">
      <c r="A200" s="13"/>
      <c r="B200" s="15"/>
      <c r="C200" s="15"/>
      <c r="E200" s="29"/>
      <c r="F200" s="29"/>
      <c r="G200" s="30"/>
      <c r="H200" s="30"/>
      <c r="I200" s="31"/>
      <c r="J200" s="34"/>
      <c r="K200" s="32"/>
    </row>
    <row r="201" ht="15.75" customHeight="1">
      <c r="A201" s="13"/>
      <c r="B201" s="15"/>
      <c r="C201" s="15"/>
      <c r="E201" s="29"/>
      <c r="F201" s="29"/>
      <c r="G201" s="30"/>
      <c r="H201" s="30"/>
      <c r="I201" s="31"/>
      <c r="J201" s="34"/>
      <c r="K201" s="32"/>
    </row>
    <row r="202" ht="15.75" customHeight="1">
      <c r="A202" s="13"/>
      <c r="B202" s="15"/>
      <c r="C202" s="15"/>
      <c r="E202" s="29"/>
      <c r="F202" s="29"/>
      <c r="G202" s="30"/>
      <c r="H202" s="30"/>
      <c r="I202" s="31"/>
      <c r="J202" s="34"/>
      <c r="K202" s="32"/>
    </row>
    <row r="203" ht="15.75" customHeight="1">
      <c r="A203" s="13"/>
      <c r="B203" s="15"/>
      <c r="C203" s="15"/>
      <c r="E203" s="29"/>
      <c r="F203" s="29"/>
      <c r="G203" s="30"/>
      <c r="H203" s="30"/>
      <c r="I203" s="31"/>
      <c r="J203" s="34"/>
      <c r="K203" s="32"/>
    </row>
    <row r="204" ht="15.75" customHeight="1">
      <c r="A204" s="13"/>
      <c r="B204" s="15"/>
      <c r="C204" s="15"/>
      <c r="E204" s="29"/>
      <c r="F204" s="29"/>
      <c r="G204" s="30"/>
      <c r="H204" s="30"/>
      <c r="I204" s="31"/>
      <c r="J204" s="34"/>
      <c r="K204" s="32"/>
    </row>
    <row r="205" ht="15.75" customHeight="1">
      <c r="A205" s="13"/>
      <c r="B205" s="15"/>
      <c r="C205" s="15"/>
      <c r="E205" s="29"/>
      <c r="F205" s="29"/>
      <c r="G205" s="30"/>
      <c r="H205" s="30"/>
      <c r="I205" s="31"/>
      <c r="J205" s="34"/>
      <c r="K205" s="32"/>
    </row>
    <row r="206" ht="15.75" customHeight="1">
      <c r="A206" s="13"/>
      <c r="B206" s="15"/>
      <c r="C206" s="15"/>
      <c r="E206" s="29"/>
      <c r="F206" s="29"/>
      <c r="G206" s="30"/>
      <c r="H206" s="30"/>
      <c r="I206" s="31"/>
      <c r="J206" s="34"/>
      <c r="K206" s="32"/>
    </row>
    <row r="207" ht="15.75" customHeight="1">
      <c r="A207" s="13"/>
      <c r="B207" s="15"/>
      <c r="C207" s="15"/>
      <c r="E207" s="29"/>
      <c r="F207" s="29"/>
      <c r="G207" s="30"/>
      <c r="H207" s="30"/>
      <c r="I207" s="31"/>
      <c r="J207" s="34"/>
      <c r="K207" s="32"/>
    </row>
    <row r="208" ht="15.75" customHeight="1">
      <c r="A208" s="13"/>
      <c r="B208" s="15"/>
      <c r="C208" s="15"/>
      <c r="E208" s="29"/>
      <c r="F208" s="29"/>
      <c r="G208" s="30"/>
      <c r="H208" s="30"/>
      <c r="I208" s="31"/>
      <c r="J208" s="34"/>
      <c r="K208" s="32"/>
    </row>
    <row r="209" ht="15.75" customHeight="1">
      <c r="A209" s="13"/>
      <c r="B209" s="15"/>
      <c r="C209" s="15"/>
      <c r="E209" s="29"/>
      <c r="F209" s="29"/>
      <c r="G209" s="30"/>
      <c r="H209" s="30"/>
      <c r="I209" s="31"/>
      <c r="J209" s="34"/>
      <c r="K209" s="32"/>
    </row>
    <row r="210" ht="15.75" customHeight="1">
      <c r="A210" s="13"/>
      <c r="B210" s="15"/>
      <c r="C210" s="15"/>
      <c r="E210" s="29"/>
      <c r="F210" s="29"/>
      <c r="G210" s="30"/>
      <c r="H210" s="30"/>
      <c r="I210" s="31"/>
      <c r="J210" s="34"/>
      <c r="K210" s="32"/>
    </row>
    <row r="211" ht="15.75" customHeight="1">
      <c r="A211" s="13"/>
      <c r="B211" s="15"/>
      <c r="C211" s="15"/>
      <c r="E211" s="29"/>
      <c r="F211" s="29"/>
      <c r="G211" s="30"/>
      <c r="H211" s="30"/>
      <c r="I211" s="31"/>
      <c r="J211" s="34"/>
      <c r="K211" s="32"/>
    </row>
    <row r="212" ht="15.75" customHeight="1">
      <c r="A212" s="13"/>
      <c r="B212" s="15"/>
      <c r="C212" s="15"/>
      <c r="E212" s="29"/>
      <c r="F212" s="29"/>
      <c r="G212" s="30"/>
      <c r="H212" s="30"/>
      <c r="I212" s="31"/>
      <c r="J212" s="34"/>
      <c r="K212" s="32"/>
    </row>
    <row r="213" ht="15.75" customHeight="1">
      <c r="A213" s="13"/>
      <c r="B213" s="15"/>
      <c r="C213" s="15"/>
      <c r="E213" s="29"/>
      <c r="F213" s="29"/>
      <c r="G213" s="30"/>
      <c r="H213" s="30"/>
      <c r="I213" s="31"/>
      <c r="J213" s="34"/>
      <c r="K213" s="32"/>
    </row>
    <row r="214" ht="15.75" customHeight="1">
      <c r="A214" s="13"/>
      <c r="B214" s="15"/>
      <c r="C214" s="15"/>
      <c r="E214" s="29"/>
      <c r="F214" s="29"/>
      <c r="G214" s="30"/>
      <c r="H214" s="30"/>
      <c r="I214" s="31"/>
      <c r="J214" s="34"/>
      <c r="K214" s="32"/>
    </row>
    <row r="215" ht="15.75" customHeight="1">
      <c r="A215" s="13"/>
      <c r="B215" s="15"/>
      <c r="C215" s="15"/>
      <c r="E215" s="29"/>
      <c r="F215" s="29"/>
      <c r="G215" s="30"/>
      <c r="H215" s="30"/>
      <c r="I215" s="31"/>
      <c r="J215" s="34"/>
      <c r="K215" s="32"/>
    </row>
    <row r="216" ht="15.75" customHeight="1">
      <c r="A216" s="13"/>
      <c r="B216" s="15"/>
      <c r="C216" s="15"/>
      <c r="E216" s="29"/>
      <c r="F216" s="29"/>
      <c r="G216" s="30"/>
      <c r="H216" s="30"/>
      <c r="I216" s="31"/>
      <c r="J216" s="34"/>
      <c r="K216" s="32"/>
    </row>
    <row r="217" ht="15.75" customHeight="1">
      <c r="A217" s="13"/>
      <c r="B217" s="15"/>
      <c r="C217" s="15"/>
      <c r="E217" s="29"/>
      <c r="F217" s="29"/>
      <c r="G217" s="30"/>
      <c r="H217" s="30"/>
      <c r="I217" s="31"/>
      <c r="J217" s="34"/>
      <c r="K217" s="32"/>
    </row>
    <row r="218" ht="15.75" customHeight="1">
      <c r="A218" s="13"/>
      <c r="B218" s="15"/>
      <c r="C218" s="15"/>
      <c r="E218" s="29"/>
      <c r="F218" s="29"/>
      <c r="G218" s="30"/>
      <c r="H218" s="30"/>
      <c r="I218" s="31"/>
      <c r="J218" s="34"/>
      <c r="K218" s="32"/>
    </row>
    <row r="219" ht="15.75" customHeight="1">
      <c r="A219" s="13"/>
      <c r="B219" s="15"/>
      <c r="C219" s="15"/>
      <c r="E219" s="29"/>
      <c r="F219" s="29"/>
      <c r="G219" s="30"/>
      <c r="H219" s="30"/>
      <c r="I219" s="31"/>
      <c r="J219" s="34"/>
      <c r="K219" s="32"/>
    </row>
    <row r="220" ht="15.75" customHeight="1">
      <c r="A220" s="13"/>
      <c r="B220" s="15"/>
      <c r="C220" s="15"/>
      <c r="E220" s="29"/>
      <c r="F220" s="29"/>
      <c r="G220" s="30"/>
      <c r="H220" s="30"/>
      <c r="I220" s="31"/>
      <c r="J220" s="34"/>
      <c r="K220" s="32"/>
    </row>
    <row r="221" ht="15.75" customHeight="1">
      <c r="A221" s="13"/>
      <c r="B221" s="15"/>
      <c r="C221" s="15"/>
      <c r="E221" s="29"/>
      <c r="F221" s="29"/>
      <c r="G221" s="30"/>
      <c r="H221" s="30"/>
      <c r="I221" s="31"/>
      <c r="J221" s="34"/>
      <c r="K221" s="32"/>
    </row>
    <row r="222" ht="15.75" customHeight="1">
      <c r="A222" s="13"/>
      <c r="B222" s="15"/>
      <c r="C222" s="15"/>
      <c r="E222" s="29"/>
      <c r="F222" s="29"/>
      <c r="G222" s="30"/>
      <c r="H222" s="30"/>
      <c r="I222" s="31"/>
      <c r="J222" s="34"/>
      <c r="K222" s="32"/>
    </row>
    <row r="223" ht="15.75" customHeight="1">
      <c r="A223" s="13"/>
      <c r="B223" s="15"/>
      <c r="C223" s="15"/>
      <c r="E223" s="29"/>
      <c r="F223" s="29"/>
      <c r="G223" s="30"/>
      <c r="H223" s="30"/>
      <c r="I223" s="31"/>
      <c r="J223" s="34"/>
      <c r="K223" s="32"/>
    </row>
    <row r="224" ht="15.75" customHeight="1">
      <c r="A224" s="13"/>
      <c r="B224" s="15"/>
      <c r="C224" s="15"/>
      <c r="E224" s="29"/>
      <c r="F224" s="29"/>
      <c r="G224" s="30"/>
      <c r="H224" s="30"/>
      <c r="I224" s="31"/>
      <c r="J224" s="34"/>
      <c r="K224" s="32"/>
    </row>
    <row r="225" ht="15.75" customHeight="1">
      <c r="A225" s="13"/>
      <c r="B225" s="15"/>
      <c r="C225" s="15"/>
      <c r="E225" s="29"/>
      <c r="F225" s="29"/>
      <c r="G225" s="30"/>
      <c r="H225" s="30"/>
      <c r="I225" s="31"/>
      <c r="J225" s="34"/>
      <c r="K225" s="32"/>
    </row>
    <row r="226" ht="15.75" customHeight="1">
      <c r="A226" s="13"/>
      <c r="B226" s="15"/>
      <c r="C226" s="15"/>
      <c r="E226" s="29"/>
      <c r="F226" s="29"/>
      <c r="G226" s="30"/>
      <c r="H226" s="30"/>
      <c r="I226" s="31"/>
      <c r="J226" s="34"/>
      <c r="K226" s="32"/>
    </row>
    <row r="227" ht="15.75" customHeight="1">
      <c r="A227" s="13"/>
      <c r="B227" s="15"/>
      <c r="C227" s="15"/>
      <c r="E227" s="29"/>
      <c r="F227" s="29"/>
      <c r="G227" s="30"/>
      <c r="H227" s="30"/>
      <c r="I227" s="31"/>
      <c r="J227" s="34"/>
      <c r="K227" s="32"/>
    </row>
    <row r="228" ht="15.75" customHeight="1">
      <c r="A228" s="13"/>
      <c r="B228" s="15"/>
      <c r="C228" s="15"/>
      <c r="E228" s="29"/>
      <c r="F228" s="29"/>
      <c r="G228" s="30"/>
      <c r="H228" s="30"/>
      <c r="I228" s="31"/>
      <c r="J228" s="34"/>
      <c r="K228" s="32"/>
    </row>
    <row r="229" ht="15.75" customHeight="1">
      <c r="A229" s="13"/>
      <c r="B229" s="15"/>
      <c r="C229" s="15"/>
      <c r="E229" s="29"/>
      <c r="F229" s="29"/>
      <c r="G229" s="30"/>
      <c r="H229" s="30"/>
      <c r="I229" s="31"/>
      <c r="J229" s="34"/>
      <c r="K229" s="32"/>
    </row>
    <row r="230" ht="15.75" customHeight="1">
      <c r="A230" s="13"/>
      <c r="B230" s="15"/>
      <c r="C230" s="15"/>
      <c r="E230" s="29"/>
      <c r="F230" s="29"/>
      <c r="G230" s="30"/>
      <c r="H230" s="30"/>
      <c r="I230" s="31"/>
      <c r="J230" s="34"/>
      <c r="K230" s="32"/>
    </row>
    <row r="231" ht="15.75" customHeight="1">
      <c r="A231" s="13"/>
      <c r="B231" s="15"/>
      <c r="C231" s="15"/>
      <c r="E231" s="29"/>
      <c r="F231" s="29"/>
      <c r="G231" s="30"/>
      <c r="H231" s="30"/>
      <c r="I231" s="31"/>
      <c r="J231" s="34"/>
      <c r="K231" s="32"/>
    </row>
    <row r="232" ht="15.75" customHeight="1">
      <c r="A232" s="13"/>
      <c r="B232" s="15"/>
      <c r="C232" s="15"/>
      <c r="E232" s="29"/>
      <c r="F232" s="29"/>
      <c r="G232" s="30"/>
      <c r="H232" s="30"/>
      <c r="I232" s="31"/>
      <c r="J232" s="34"/>
      <c r="K232" s="32"/>
    </row>
    <row r="233" ht="15.75" customHeight="1">
      <c r="A233" s="13"/>
      <c r="B233" s="15"/>
      <c r="C233" s="15"/>
      <c r="E233" s="29"/>
      <c r="F233" s="29"/>
      <c r="G233" s="30"/>
      <c r="H233" s="30"/>
      <c r="I233" s="31"/>
      <c r="J233" s="34"/>
      <c r="K233" s="32"/>
    </row>
    <row r="234" ht="15.75" customHeight="1">
      <c r="A234" s="13"/>
      <c r="B234" s="15"/>
      <c r="C234" s="15"/>
      <c r="E234" s="29"/>
      <c r="F234" s="29"/>
      <c r="G234" s="30"/>
      <c r="H234" s="30"/>
      <c r="I234" s="31"/>
      <c r="J234" s="34"/>
      <c r="K234" s="32"/>
    </row>
    <row r="235" ht="15.75" customHeight="1">
      <c r="A235" s="13"/>
      <c r="B235" s="15"/>
      <c r="C235" s="15"/>
      <c r="E235" s="29"/>
      <c r="F235" s="29"/>
      <c r="G235" s="30"/>
      <c r="H235" s="30"/>
      <c r="I235" s="31"/>
      <c r="J235" s="34"/>
      <c r="K235" s="32"/>
    </row>
    <row r="236" ht="15.75" customHeight="1">
      <c r="A236" s="13"/>
      <c r="B236" s="15"/>
      <c r="C236" s="15"/>
      <c r="E236" s="29"/>
      <c r="F236" s="29"/>
      <c r="G236" s="30"/>
      <c r="H236" s="30"/>
      <c r="I236" s="31"/>
      <c r="J236" s="34"/>
      <c r="K236" s="32"/>
    </row>
    <row r="237" ht="15.75" customHeight="1">
      <c r="A237" s="13"/>
      <c r="B237" s="15"/>
      <c r="C237" s="15"/>
      <c r="E237" s="29"/>
      <c r="F237" s="29"/>
      <c r="G237" s="30"/>
      <c r="H237" s="30"/>
      <c r="I237" s="31"/>
      <c r="J237" s="34"/>
      <c r="K237" s="32"/>
    </row>
    <row r="238" ht="15.75" customHeight="1">
      <c r="A238" s="13"/>
      <c r="B238" s="15"/>
      <c r="C238" s="15"/>
      <c r="E238" s="29"/>
      <c r="F238" s="29"/>
      <c r="G238" s="30"/>
      <c r="H238" s="30"/>
      <c r="I238" s="31"/>
      <c r="J238" s="34"/>
      <c r="K238" s="32"/>
    </row>
    <row r="239" ht="15.75" customHeight="1">
      <c r="A239" s="13"/>
      <c r="B239" s="15"/>
      <c r="C239" s="15"/>
      <c r="E239" s="29"/>
      <c r="F239" s="29"/>
      <c r="G239" s="30"/>
      <c r="H239" s="30"/>
      <c r="I239" s="31"/>
      <c r="J239" s="34"/>
      <c r="K239" s="32"/>
    </row>
    <row r="240" ht="15.75" customHeight="1">
      <c r="A240" s="13"/>
      <c r="B240" s="15"/>
      <c r="C240" s="15"/>
      <c r="E240" s="29"/>
      <c r="F240" s="29"/>
      <c r="G240" s="30"/>
      <c r="H240" s="30"/>
      <c r="I240" s="31"/>
      <c r="J240" s="34"/>
      <c r="K240" s="32"/>
    </row>
    <row r="241" ht="15.75" customHeight="1">
      <c r="A241" s="13"/>
      <c r="B241" s="15"/>
      <c r="C241" s="15"/>
      <c r="E241" s="29"/>
      <c r="F241" s="29"/>
      <c r="G241" s="30"/>
      <c r="H241" s="30"/>
      <c r="I241" s="31"/>
      <c r="J241" s="34"/>
      <c r="K241" s="32"/>
    </row>
    <row r="242" ht="15.75" customHeight="1">
      <c r="A242" s="13"/>
      <c r="B242" s="15"/>
      <c r="C242" s="15"/>
      <c r="E242" s="29"/>
      <c r="F242" s="29"/>
      <c r="G242" s="30"/>
      <c r="H242" s="30"/>
      <c r="I242" s="31"/>
      <c r="J242" s="34"/>
      <c r="K242" s="32"/>
    </row>
    <row r="243" ht="15.75" customHeight="1">
      <c r="A243" s="13"/>
      <c r="B243" s="15"/>
      <c r="C243" s="15"/>
      <c r="E243" s="29"/>
      <c r="F243" s="29"/>
      <c r="G243" s="30"/>
      <c r="H243" s="30"/>
      <c r="I243" s="31"/>
      <c r="J243" s="34"/>
      <c r="K243" s="32"/>
    </row>
    <row r="244" ht="15.75" customHeight="1">
      <c r="A244" s="13"/>
      <c r="B244" s="15"/>
      <c r="C244" s="15"/>
      <c r="E244" s="29"/>
      <c r="F244" s="29"/>
      <c r="G244" s="30"/>
      <c r="H244" s="30"/>
      <c r="I244" s="31"/>
      <c r="J244" s="34"/>
      <c r="K244" s="32"/>
    </row>
    <row r="245" ht="15.75" customHeight="1">
      <c r="A245" s="13"/>
      <c r="B245" s="15"/>
      <c r="C245" s="15"/>
      <c r="E245" s="29"/>
      <c r="F245" s="29"/>
      <c r="G245" s="30"/>
      <c r="H245" s="30"/>
      <c r="I245" s="31"/>
      <c r="J245" s="34"/>
      <c r="K245" s="32"/>
    </row>
    <row r="246" ht="15.75" customHeight="1">
      <c r="A246" s="13"/>
      <c r="B246" s="15"/>
      <c r="C246" s="15"/>
      <c r="E246" s="29"/>
      <c r="F246" s="29"/>
      <c r="G246" s="30"/>
      <c r="H246" s="30"/>
      <c r="I246" s="31"/>
      <c r="J246" s="34"/>
      <c r="K246" s="32"/>
    </row>
    <row r="247" ht="15.75" customHeight="1">
      <c r="A247" s="13"/>
      <c r="B247" s="15"/>
      <c r="C247" s="15"/>
      <c r="E247" s="29"/>
      <c r="F247" s="29"/>
      <c r="G247" s="30"/>
      <c r="H247" s="30"/>
      <c r="I247" s="31"/>
      <c r="J247" s="34"/>
      <c r="K247" s="32"/>
    </row>
    <row r="248" ht="15.75" customHeight="1">
      <c r="A248" s="13"/>
      <c r="B248" s="15"/>
      <c r="C248" s="15"/>
      <c r="E248" s="29"/>
      <c r="F248" s="29"/>
      <c r="G248" s="30"/>
      <c r="H248" s="30"/>
      <c r="I248" s="31"/>
      <c r="J248" s="34"/>
      <c r="K248" s="32"/>
    </row>
    <row r="249" ht="15.75" customHeight="1">
      <c r="A249" s="13"/>
      <c r="B249" s="15"/>
      <c r="C249" s="15"/>
      <c r="E249" s="29"/>
      <c r="F249" s="29"/>
      <c r="G249" s="30"/>
      <c r="H249" s="30"/>
      <c r="I249" s="31"/>
      <c r="J249" s="34"/>
      <c r="K249" s="32"/>
    </row>
    <row r="250" ht="15.75" customHeight="1">
      <c r="A250" s="13"/>
      <c r="B250" s="15"/>
      <c r="C250" s="15"/>
      <c r="E250" s="29"/>
      <c r="F250" s="29"/>
      <c r="G250" s="30"/>
      <c r="H250" s="30"/>
      <c r="I250" s="31"/>
      <c r="J250" s="34"/>
      <c r="K250" s="32"/>
    </row>
    <row r="251" ht="15.75" customHeight="1">
      <c r="A251" s="13"/>
      <c r="B251" s="15"/>
      <c r="C251" s="15"/>
      <c r="E251" s="29"/>
      <c r="F251" s="29"/>
      <c r="G251" s="30"/>
      <c r="H251" s="30"/>
      <c r="I251" s="31"/>
      <c r="J251" s="34"/>
      <c r="K251" s="32"/>
    </row>
    <row r="252" ht="15.75" customHeight="1">
      <c r="A252" s="13"/>
      <c r="B252" s="15"/>
      <c r="C252" s="15"/>
      <c r="E252" s="29"/>
      <c r="F252" s="29"/>
      <c r="G252" s="30"/>
      <c r="H252" s="30"/>
      <c r="I252" s="31"/>
      <c r="J252" s="34"/>
      <c r="K252" s="32"/>
    </row>
    <row r="253" ht="15.75" customHeight="1">
      <c r="A253" s="13"/>
      <c r="B253" s="15"/>
      <c r="C253" s="15"/>
      <c r="E253" s="29"/>
      <c r="F253" s="29"/>
      <c r="G253" s="30"/>
      <c r="H253" s="30"/>
      <c r="I253" s="31"/>
      <c r="J253" s="34"/>
      <c r="K253" s="32"/>
    </row>
    <row r="254" ht="15.75" customHeight="1">
      <c r="A254" s="13"/>
      <c r="B254" s="15"/>
      <c r="C254" s="15"/>
      <c r="E254" s="29"/>
      <c r="F254" s="29"/>
      <c r="G254" s="30"/>
      <c r="H254" s="30"/>
      <c r="I254" s="31"/>
      <c r="J254" s="34"/>
      <c r="K254" s="32"/>
    </row>
    <row r="255" ht="15.75" customHeight="1">
      <c r="A255" s="13"/>
      <c r="B255" s="15"/>
      <c r="C255" s="15"/>
      <c r="E255" s="29"/>
      <c r="F255" s="29"/>
      <c r="G255" s="30"/>
      <c r="H255" s="30"/>
      <c r="I255" s="31"/>
      <c r="J255" s="34"/>
      <c r="K255" s="32"/>
    </row>
    <row r="256" ht="15.75" customHeight="1">
      <c r="A256" s="13"/>
      <c r="B256" s="15"/>
      <c r="C256" s="15"/>
      <c r="E256" s="29"/>
      <c r="F256" s="29"/>
      <c r="G256" s="30"/>
      <c r="H256" s="30"/>
      <c r="I256" s="31"/>
      <c r="J256" s="34"/>
      <c r="K256" s="32"/>
    </row>
    <row r="257" ht="15.75" customHeight="1">
      <c r="A257" s="13"/>
      <c r="B257" s="15"/>
      <c r="C257" s="15"/>
      <c r="E257" s="29"/>
      <c r="F257" s="29"/>
      <c r="G257" s="30"/>
      <c r="H257" s="30"/>
      <c r="I257" s="31"/>
      <c r="J257" s="34"/>
      <c r="K257" s="32"/>
    </row>
    <row r="258" ht="15.75" customHeight="1">
      <c r="A258" s="13"/>
      <c r="B258" s="15"/>
      <c r="C258" s="15"/>
      <c r="E258" s="29"/>
      <c r="F258" s="29"/>
      <c r="G258" s="30"/>
      <c r="H258" s="30"/>
      <c r="I258" s="31"/>
      <c r="J258" s="34"/>
      <c r="K258" s="32"/>
    </row>
    <row r="259" ht="15.75" customHeight="1">
      <c r="A259" s="13"/>
      <c r="B259" s="15"/>
      <c r="C259" s="15"/>
      <c r="E259" s="29"/>
      <c r="F259" s="29"/>
      <c r="G259" s="30"/>
      <c r="H259" s="30"/>
      <c r="I259" s="31"/>
      <c r="J259" s="34"/>
      <c r="K259" s="32"/>
    </row>
    <row r="260" ht="15.75" customHeight="1">
      <c r="A260" s="13"/>
      <c r="B260" s="15"/>
      <c r="C260" s="15"/>
      <c r="E260" s="29"/>
      <c r="F260" s="29"/>
      <c r="G260" s="30"/>
      <c r="H260" s="30"/>
      <c r="I260" s="31"/>
      <c r="J260" s="34"/>
      <c r="K260" s="32"/>
    </row>
    <row r="261" ht="15.75" customHeight="1">
      <c r="A261" s="13"/>
      <c r="B261" s="15"/>
      <c r="C261" s="15"/>
      <c r="E261" s="29"/>
      <c r="F261" s="29"/>
      <c r="G261" s="30"/>
      <c r="H261" s="30"/>
      <c r="I261" s="31"/>
      <c r="J261" s="34"/>
      <c r="K261" s="32"/>
    </row>
    <row r="262" ht="15.75" customHeight="1">
      <c r="A262" s="13"/>
      <c r="B262" s="15"/>
      <c r="C262" s="15"/>
      <c r="E262" s="29"/>
      <c r="F262" s="29"/>
      <c r="G262" s="30"/>
      <c r="H262" s="30"/>
      <c r="I262" s="31"/>
      <c r="J262" s="34"/>
      <c r="K262" s="32"/>
    </row>
    <row r="263" ht="15.75" customHeight="1">
      <c r="A263" s="35"/>
      <c r="B263" s="15"/>
      <c r="C263" s="15"/>
      <c r="E263" s="29"/>
      <c r="F263" s="29"/>
      <c r="G263" s="30"/>
      <c r="H263" s="30"/>
      <c r="I263" s="31"/>
      <c r="J263" s="34"/>
      <c r="K263" s="32"/>
    </row>
    <row r="264" ht="15.75" customHeight="1">
      <c r="A264" s="35"/>
      <c r="B264" s="36"/>
      <c r="C264" s="15"/>
      <c r="E264" s="29"/>
      <c r="F264" s="29"/>
      <c r="G264" s="30"/>
      <c r="H264" s="30"/>
      <c r="I264" s="31"/>
      <c r="J264" s="34"/>
      <c r="K264" s="32"/>
    </row>
    <row r="265" ht="15.75" customHeight="1">
      <c r="A265" s="35"/>
      <c r="B265" s="36"/>
      <c r="C265" s="15"/>
      <c r="E265" s="29"/>
      <c r="F265" s="29"/>
      <c r="G265" s="30"/>
      <c r="H265" s="30"/>
      <c r="I265" s="31"/>
      <c r="J265" s="34"/>
      <c r="K265" s="32"/>
    </row>
    <row r="266" ht="15.75" customHeight="1">
      <c r="A266" s="35"/>
      <c r="B266" s="36"/>
      <c r="C266" s="15"/>
      <c r="E266" s="29"/>
      <c r="F266" s="29"/>
      <c r="G266" s="30"/>
      <c r="H266" s="30"/>
      <c r="I266" s="31"/>
      <c r="J266" s="34"/>
      <c r="K266" s="32"/>
    </row>
    <row r="267" ht="15.75" customHeight="1">
      <c r="A267" s="35"/>
      <c r="B267" s="36"/>
      <c r="C267" s="15"/>
      <c r="E267" s="29"/>
      <c r="F267" s="29"/>
      <c r="G267" s="30"/>
      <c r="H267" s="30"/>
      <c r="I267" s="31"/>
      <c r="J267" s="34"/>
      <c r="K267" s="32"/>
    </row>
    <row r="268" ht="15.75" customHeight="1">
      <c r="A268" s="35"/>
      <c r="B268" s="36"/>
      <c r="C268" s="15"/>
      <c r="E268" s="29"/>
      <c r="F268" s="29"/>
      <c r="G268" s="30"/>
      <c r="H268" s="30"/>
      <c r="I268" s="31"/>
      <c r="J268" s="34"/>
      <c r="K268" s="32"/>
    </row>
    <row r="269" ht="15.75" customHeight="1">
      <c r="A269" s="35"/>
      <c r="B269" s="36"/>
      <c r="C269" s="15"/>
      <c r="E269" s="29"/>
      <c r="F269" s="29"/>
      <c r="G269" s="30"/>
      <c r="H269" s="30"/>
      <c r="I269" s="31"/>
      <c r="J269" s="34"/>
      <c r="K269" s="32"/>
    </row>
    <row r="270" ht="15.75" customHeight="1">
      <c r="A270" s="35"/>
      <c r="B270" s="36"/>
      <c r="C270" s="15"/>
      <c r="E270" s="29"/>
      <c r="F270" s="29"/>
      <c r="G270" s="30"/>
      <c r="H270" s="30"/>
      <c r="I270" s="31"/>
      <c r="J270" s="34"/>
      <c r="K270" s="32"/>
    </row>
    <row r="271" ht="15.75" customHeight="1">
      <c r="A271" s="35"/>
      <c r="B271" s="36"/>
      <c r="C271" s="36"/>
      <c r="E271" s="29"/>
      <c r="F271" s="29"/>
      <c r="G271" s="30"/>
      <c r="H271" s="30"/>
      <c r="I271" s="31"/>
      <c r="J271" s="34"/>
      <c r="K271" s="32"/>
    </row>
    <row r="272" ht="15.75" customHeight="1">
      <c r="A272" s="35"/>
      <c r="B272" s="36"/>
      <c r="C272" s="36"/>
      <c r="E272" s="29"/>
      <c r="F272" s="29"/>
      <c r="G272" s="30"/>
      <c r="H272" s="30"/>
      <c r="I272" s="31"/>
      <c r="J272" s="34"/>
      <c r="K272" s="32"/>
    </row>
    <row r="273" ht="15.75" customHeight="1">
      <c r="A273" s="35"/>
      <c r="B273" s="36"/>
      <c r="C273" s="36"/>
      <c r="E273" s="29"/>
      <c r="F273" s="29"/>
      <c r="G273" s="30"/>
      <c r="H273" s="30"/>
      <c r="I273" s="31"/>
      <c r="J273" s="34"/>
      <c r="K273" s="32"/>
    </row>
    <row r="274" ht="15.75" customHeight="1">
      <c r="A274" s="35"/>
      <c r="B274" s="36"/>
      <c r="C274" s="36"/>
      <c r="E274" s="29"/>
      <c r="F274" s="29"/>
      <c r="G274" s="30"/>
      <c r="H274" s="30"/>
      <c r="I274" s="31"/>
      <c r="J274" s="34"/>
      <c r="K274" s="32"/>
    </row>
    <row r="275" ht="15.75" customHeight="1">
      <c r="A275" s="35"/>
      <c r="B275" s="36"/>
      <c r="C275" s="36"/>
      <c r="E275" s="29"/>
      <c r="F275" s="29"/>
      <c r="G275" s="30"/>
      <c r="H275" s="30"/>
      <c r="I275" s="31"/>
      <c r="J275" s="34"/>
      <c r="K275" s="32"/>
    </row>
    <row r="276" ht="15.75" customHeight="1">
      <c r="A276" s="35"/>
      <c r="B276" s="36"/>
      <c r="C276" s="36"/>
      <c r="E276" s="29"/>
      <c r="F276" s="29"/>
      <c r="G276" s="30"/>
      <c r="H276" s="30"/>
      <c r="I276" s="31"/>
      <c r="J276" s="34"/>
      <c r="K276" s="32"/>
    </row>
    <row r="277" ht="15.75" customHeight="1">
      <c r="A277" s="35"/>
      <c r="B277" s="36"/>
      <c r="C277" s="36"/>
      <c r="E277" s="29"/>
      <c r="F277" s="29"/>
      <c r="G277" s="30"/>
      <c r="H277" s="30"/>
      <c r="I277" s="31"/>
      <c r="J277" s="34"/>
      <c r="K277" s="32"/>
    </row>
    <row r="278" ht="15.75" customHeight="1">
      <c r="A278" s="35"/>
      <c r="B278" s="36"/>
      <c r="C278" s="36"/>
      <c r="E278" s="29"/>
      <c r="F278" s="29"/>
      <c r="G278" s="30"/>
      <c r="H278" s="30"/>
      <c r="I278" s="31"/>
      <c r="J278" s="34"/>
      <c r="K278" s="32"/>
    </row>
    <row r="279" ht="15.75" customHeight="1">
      <c r="A279" s="35"/>
      <c r="B279" s="36"/>
      <c r="C279" s="36"/>
      <c r="E279" s="29"/>
      <c r="F279" s="29"/>
      <c r="G279" s="30"/>
      <c r="H279" s="30"/>
      <c r="I279" s="31"/>
      <c r="J279" s="34"/>
      <c r="K279" s="32"/>
    </row>
    <row r="280" ht="15.75" customHeight="1">
      <c r="A280" s="35"/>
      <c r="B280" s="36"/>
      <c r="C280" s="36"/>
      <c r="E280" s="29"/>
      <c r="F280" s="29"/>
      <c r="G280" s="30"/>
      <c r="H280" s="30"/>
      <c r="I280" s="31"/>
      <c r="J280" s="34"/>
      <c r="K280" s="32"/>
    </row>
    <row r="281" ht="15.75" customHeight="1">
      <c r="A281" s="35"/>
      <c r="B281" s="36"/>
      <c r="C281" s="36"/>
      <c r="E281" s="29"/>
      <c r="F281" s="29"/>
      <c r="G281" s="30"/>
      <c r="H281" s="30"/>
      <c r="I281" s="31"/>
      <c r="J281" s="34"/>
      <c r="K281" s="32"/>
    </row>
    <row r="282" ht="15.75" customHeight="1">
      <c r="A282" s="35"/>
      <c r="B282" s="36"/>
      <c r="C282" s="36"/>
      <c r="E282" s="29"/>
      <c r="F282" s="29"/>
      <c r="G282" s="30"/>
      <c r="H282" s="30"/>
      <c r="I282" s="31"/>
      <c r="J282" s="34"/>
      <c r="K282" s="32"/>
    </row>
    <row r="283" ht="15.75" customHeight="1">
      <c r="A283" s="35"/>
      <c r="B283" s="36"/>
      <c r="C283" s="36"/>
      <c r="E283" s="29"/>
      <c r="F283" s="29"/>
      <c r="G283" s="30"/>
      <c r="H283" s="30"/>
      <c r="I283" s="31"/>
      <c r="J283" s="34"/>
      <c r="K283" s="32"/>
    </row>
    <row r="284" ht="15.75" customHeight="1">
      <c r="A284" s="35"/>
      <c r="B284" s="36"/>
      <c r="C284" s="36"/>
      <c r="E284" s="29"/>
      <c r="F284" s="29"/>
      <c r="G284" s="30"/>
      <c r="H284" s="30"/>
      <c r="I284" s="31"/>
      <c r="J284" s="34"/>
      <c r="K284" s="32"/>
    </row>
    <row r="285" ht="15.75" customHeight="1">
      <c r="A285" s="35"/>
      <c r="B285" s="36"/>
      <c r="C285" s="36"/>
      <c r="E285" s="29"/>
      <c r="F285" s="29"/>
      <c r="G285" s="30"/>
      <c r="H285" s="30"/>
      <c r="I285" s="31"/>
      <c r="J285" s="34"/>
      <c r="K285" s="32"/>
    </row>
    <row r="286" ht="15.75" customHeight="1">
      <c r="A286" s="35"/>
      <c r="B286" s="36"/>
      <c r="C286" s="36"/>
      <c r="E286" s="29"/>
      <c r="F286" s="29"/>
      <c r="G286" s="30"/>
      <c r="H286" s="30"/>
      <c r="I286" s="31"/>
      <c r="J286" s="34"/>
      <c r="K286" s="32"/>
    </row>
    <row r="287" ht="15.75" customHeight="1">
      <c r="A287" s="35"/>
      <c r="B287" s="36"/>
      <c r="C287" s="36"/>
      <c r="E287" s="29"/>
      <c r="F287" s="29"/>
      <c r="G287" s="30"/>
      <c r="H287" s="30"/>
      <c r="I287" s="31"/>
      <c r="J287" s="34"/>
      <c r="K287" s="32"/>
    </row>
    <row r="288" ht="15.75" customHeight="1">
      <c r="A288" s="35"/>
      <c r="B288" s="36"/>
      <c r="C288" s="36"/>
      <c r="E288" s="29"/>
      <c r="F288" s="29"/>
      <c r="G288" s="30"/>
      <c r="H288" s="30"/>
      <c r="I288" s="31"/>
      <c r="J288" s="34"/>
      <c r="K288" s="32"/>
    </row>
    <row r="289" ht="15.75" customHeight="1">
      <c r="A289" s="35"/>
      <c r="B289" s="36"/>
      <c r="C289" s="36"/>
      <c r="E289" s="29"/>
      <c r="F289" s="29"/>
      <c r="G289" s="30"/>
      <c r="H289" s="30"/>
      <c r="I289" s="31"/>
      <c r="J289" s="34"/>
      <c r="K289" s="32"/>
    </row>
    <row r="290" ht="15.75" customHeight="1">
      <c r="A290" s="35"/>
      <c r="B290" s="36"/>
      <c r="C290" s="36"/>
      <c r="E290" s="29"/>
      <c r="F290" s="29"/>
      <c r="G290" s="30"/>
      <c r="H290" s="30"/>
      <c r="I290" s="31"/>
      <c r="J290" s="34"/>
      <c r="K290" s="32"/>
    </row>
    <row r="291" ht="15.75" customHeight="1">
      <c r="A291" s="35"/>
      <c r="B291" s="36"/>
      <c r="C291" s="36"/>
      <c r="E291" s="29"/>
      <c r="F291" s="29"/>
      <c r="G291" s="30"/>
      <c r="H291" s="30"/>
      <c r="I291" s="31"/>
      <c r="J291" s="34"/>
      <c r="K291" s="32"/>
    </row>
    <row r="292" ht="15.75" customHeight="1">
      <c r="A292" s="35"/>
      <c r="B292" s="36"/>
      <c r="C292" s="36"/>
      <c r="E292" s="29"/>
      <c r="F292" s="29"/>
      <c r="G292" s="30"/>
      <c r="H292" s="30"/>
      <c r="I292" s="31"/>
      <c r="J292" s="34"/>
      <c r="K292" s="32"/>
    </row>
    <row r="293" ht="15.75" customHeight="1">
      <c r="A293" s="35"/>
      <c r="B293" s="36"/>
      <c r="C293" s="36"/>
      <c r="E293" s="29"/>
      <c r="F293" s="29"/>
      <c r="G293" s="30"/>
      <c r="H293" s="30"/>
      <c r="I293" s="31"/>
      <c r="J293" s="34"/>
      <c r="K293" s="32"/>
    </row>
    <row r="294" ht="15.75" customHeight="1">
      <c r="A294" s="35"/>
      <c r="B294" s="36"/>
      <c r="C294" s="36"/>
      <c r="E294" s="29"/>
      <c r="F294" s="29"/>
      <c r="G294" s="30"/>
      <c r="H294" s="30"/>
      <c r="I294" s="31"/>
      <c r="J294" s="34"/>
      <c r="K294" s="32"/>
    </row>
    <row r="295" ht="15.75" customHeight="1">
      <c r="A295" s="35"/>
      <c r="B295" s="36"/>
      <c r="C295" s="36"/>
      <c r="E295" s="29"/>
      <c r="F295" s="29"/>
      <c r="G295" s="30"/>
      <c r="H295" s="30"/>
      <c r="I295" s="31"/>
      <c r="J295" s="34"/>
      <c r="K295" s="32"/>
    </row>
    <row r="296" ht="15.75" customHeight="1">
      <c r="A296" s="35"/>
      <c r="B296" s="36"/>
      <c r="C296" s="36"/>
      <c r="E296" s="29"/>
      <c r="F296" s="29"/>
      <c r="G296" s="30"/>
      <c r="H296" s="30"/>
      <c r="I296" s="31"/>
      <c r="J296" s="34"/>
      <c r="K296" s="32"/>
    </row>
    <row r="297" ht="15.75" customHeight="1">
      <c r="A297" s="35"/>
      <c r="B297" s="36"/>
      <c r="C297" s="36"/>
      <c r="E297" s="29"/>
      <c r="F297" s="29"/>
      <c r="G297" s="30"/>
      <c r="H297" s="30"/>
      <c r="I297" s="31"/>
      <c r="J297" s="34"/>
      <c r="K297" s="32"/>
    </row>
    <row r="298" ht="15.75" customHeight="1">
      <c r="A298" s="35"/>
      <c r="B298" s="36"/>
      <c r="C298" s="36"/>
      <c r="E298" s="29"/>
      <c r="F298" s="29"/>
      <c r="G298" s="30"/>
      <c r="H298" s="30"/>
      <c r="I298" s="31"/>
      <c r="J298" s="34"/>
      <c r="K298" s="32"/>
    </row>
    <row r="299" ht="15.75" customHeight="1">
      <c r="A299" s="35"/>
      <c r="B299" s="36"/>
      <c r="C299" s="36"/>
      <c r="E299" s="29"/>
      <c r="F299" s="29"/>
      <c r="G299" s="30"/>
      <c r="H299" s="30"/>
      <c r="I299" s="31"/>
      <c r="J299" s="34"/>
      <c r="K299" s="32"/>
    </row>
    <row r="300" ht="15.75" customHeight="1">
      <c r="A300" s="35"/>
      <c r="B300" s="36"/>
      <c r="C300" s="36"/>
      <c r="E300" s="29"/>
      <c r="F300" s="29"/>
      <c r="G300" s="30"/>
      <c r="H300" s="30"/>
      <c r="I300" s="31"/>
      <c r="J300" s="34"/>
      <c r="K300" s="32"/>
    </row>
    <row r="301" ht="15.75" customHeight="1">
      <c r="A301" s="35"/>
      <c r="B301" s="36"/>
      <c r="C301" s="36"/>
      <c r="E301" s="29"/>
      <c r="F301" s="29"/>
      <c r="G301" s="30"/>
      <c r="H301" s="30"/>
      <c r="I301" s="31"/>
      <c r="J301" s="34"/>
      <c r="K301" s="32"/>
    </row>
    <row r="302" ht="15.75" customHeight="1">
      <c r="A302" s="35"/>
      <c r="B302" s="36"/>
      <c r="C302" s="36"/>
      <c r="E302" s="29"/>
      <c r="F302" s="29"/>
      <c r="G302" s="30"/>
      <c r="H302" s="30"/>
      <c r="I302" s="31"/>
      <c r="J302" s="34"/>
      <c r="K302" s="32"/>
    </row>
    <row r="303" ht="15.75" customHeight="1">
      <c r="A303" s="35"/>
      <c r="B303" s="36"/>
      <c r="C303" s="36"/>
      <c r="E303" s="29"/>
      <c r="F303" s="29"/>
      <c r="G303" s="30"/>
      <c r="H303" s="30"/>
      <c r="I303" s="31"/>
      <c r="J303" s="34"/>
      <c r="K303" s="32"/>
    </row>
    <row r="304" ht="15.75" customHeight="1">
      <c r="A304" s="35"/>
      <c r="B304" s="36"/>
      <c r="C304" s="36"/>
      <c r="E304" s="29"/>
      <c r="F304" s="29"/>
      <c r="G304" s="30"/>
      <c r="H304" s="30"/>
      <c r="I304" s="31"/>
      <c r="J304" s="34"/>
      <c r="K304" s="32"/>
    </row>
    <row r="305" ht="15.75" customHeight="1">
      <c r="A305" s="35"/>
      <c r="B305" s="36"/>
      <c r="C305" s="36"/>
      <c r="E305" s="29"/>
      <c r="F305" s="29"/>
      <c r="G305" s="30"/>
      <c r="H305" s="30"/>
      <c r="I305" s="31"/>
      <c r="J305" s="34"/>
      <c r="K305" s="32"/>
    </row>
    <row r="306" ht="15.75" customHeight="1">
      <c r="A306" s="35"/>
      <c r="B306" s="36"/>
      <c r="C306" s="36"/>
      <c r="E306" s="29"/>
      <c r="F306" s="29"/>
      <c r="G306" s="30"/>
      <c r="H306" s="30"/>
      <c r="I306" s="31"/>
      <c r="J306" s="34"/>
      <c r="K306" s="32"/>
    </row>
    <row r="307" ht="15.75" customHeight="1">
      <c r="A307" s="35"/>
      <c r="B307" s="36"/>
      <c r="C307" s="36"/>
      <c r="E307" s="29"/>
      <c r="F307" s="29"/>
      <c r="G307" s="30"/>
      <c r="H307" s="30"/>
      <c r="I307" s="31"/>
      <c r="J307" s="34"/>
      <c r="K307" s="32"/>
    </row>
    <row r="308" ht="15.75" customHeight="1">
      <c r="A308" s="35"/>
      <c r="B308" s="36"/>
      <c r="C308" s="36"/>
      <c r="E308" s="29"/>
      <c r="F308" s="29"/>
      <c r="G308" s="30"/>
      <c r="H308" s="30"/>
      <c r="I308" s="31"/>
      <c r="J308" s="34"/>
      <c r="K308" s="32"/>
    </row>
    <row r="309" ht="15.75" customHeight="1">
      <c r="A309" s="35"/>
      <c r="B309" s="36"/>
      <c r="C309" s="36"/>
      <c r="E309" s="29"/>
      <c r="F309" s="29"/>
      <c r="G309" s="30"/>
      <c r="H309" s="30"/>
      <c r="I309" s="31"/>
      <c r="J309" s="34"/>
      <c r="K309" s="32"/>
    </row>
    <row r="310" ht="15.75" customHeight="1">
      <c r="A310" s="35"/>
      <c r="B310" s="36"/>
      <c r="C310" s="36"/>
      <c r="E310" s="29"/>
      <c r="F310" s="29"/>
      <c r="G310" s="30"/>
      <c r="H310" s="30"/>
      <c r="I310" s="31"/>
      <c r="J310" s="34"/>
      <c r="K310" s="32"/>
    </row>
    <row r="311" ht="15.75" customHeight="1">
      <c r="A311" s="35"/>
      <c r="B311" s="36"/>
      <c r="C311" s="36"/>
      <c r="E311" s="29"/>
      <c r="F311" s="29"/>
      <c r="G311" s="30"/>
      <c r="H311" s="30"/>
      <c r="I311" s="31"/>
      <c r="J311" s="34"/>
      <c r="K311" s="32"/>
    </row>
    <row r="312" ht="15.75" customHeight="1">
      <c r="A312" s="35"/>
      <c r="B312" s="36"/>
      <c r="C312" s="36"/>
      <c r="E312" s="29"/>
      <c r="F312" s="29"/>
      <c r="G312" s="30"/>
      <c r="H312" s="30"/>
      <c r="I312" s="31"/>
      <c r="J312" s="34"/>
      <c r="K312" s="32"/>
    </row>
    <row r="313" ht="15.75" customHeight="1">
      <c r="A313" s="35"/>
      <c r="B313" s="36"/>
      <c r="C313" s="36"/>
      <c r="E313" s="29"/>
      <c r="F313" s="29"/>
      <c r="G313" s="30"/>
      <c r="H313" s="30"/>
      <c r="I313" s="31"/>
      <c r="J313" s="34"/>
      <c r="K313" s="32"/>
    </row>
    <row r="314" ht="15.75" customHeight="1">
      <c r="A314" s="35"/>
      <c r="B314" s="36"/>
      <c r="C314" s="36"/>
      <c r="E314" s="29"/>
      <c r="F314" s="29"/>
      <c r="G314" s="30"/>
      <c r="H314" s="30"/>
      <c r="I314" s="31"/>
      <c r="J314" s="34"/>
      <c r="K314" s="32"/>
    </row>
    <row r="315" ht="15.75" customHeight="1">
      <c r="A315" s="35"/>
      <c r="B315" s="36"/>
      <c r="C315" s="36"/>
      <c r="E315" s="29"/>
      <c r="F315" s="29"/>
      <c r="G315" s="30"/>
      <c r="H315" s="30"/>
      <c r="I315" s="31"/>
      <c r="J315" s="34"/>
      <c r="K315" s="32"/>
    </row>
    <row r="316" ht="15.75" customHeight="1">
      <c r="A316" s="35"/>
      <c r="B316" s="36"/>
      <c r="C316" s="36"/>
      <c r="E316" s="29"/>
      <c r="F316" s="29"/>
      <c r="G316" s="30"/>
      <c r="H316" s="30"/>
      <c r="I316" s="31"/>
      <c r="J316" s="34"/>
      <c r="K316" s="32"/>
    </row>
    <row r="317" ht="15.75" customHeight="1">
      <c r="A317" s="35"/>
      <c r="B317" s="36"/>
      <c r="C317" s="36"/>
      <c r="E317" s="29"/>
      <c r="F317" s="29"/>
      <c r="G317" s="30"/>
      <c r="H317" s="30"/>
      <c r="I317" s="31"/>
      <c r="J317" s="34"/>
      <c r="K317" s="32"/>
    </row>
    <row r="318" ht="15.75" customHeight="1">
      <c r="A318" s="35"/>
      <c r="B318" s="36"/>
      <c r="C318" s="36"/>
      <c r="E318" s="29"/>
      <c r="F318" s="29"/>
      <c r="G318" s="30"/>
      <c r="H318" s="30"/>
      <c r="I318" s="31"/>
      <c r="J318" s="34"/>
      <c r="K318" s="32"/>
    </row>
    <row r="319" ht="15.75" customHeight="1">
      <c r="A319" s="35"/>
      <c r="B319" s="36"/>
      <c r="C319" s="36"/>
      <c r="E319" s="29"/>
      <c r="F319" s="29"/>
      <c r="G319" s="30"/>
      <c r="H319" s="30"/>
      <c r="I319" s="31"/>
      <c r="J319" s="34"/>
      <c r="K319" s="32"/>
    </row>
    <row r="320" ht="15.75" customHeight="1">
      <c r="A320" s="35"/>
      <c r="B320" s="36"/>
      <c r="C320" s="36"/>
      <c r="E320" s="29"/>
      <c r="F320" s="29"/>
      <c r="G320" s="30"/>
      <c r="H320" s="30"/>
      <c r="I320" s="31"/>
      <c r="J320" s="34"/>
      <c r="K320" s="32"/>
    </row>
    <row r="321" ht="15.75" customHeight="1">
      <c r="A321" s="35"/>
      <c r="B321" s="36"/>
      <c r="C321" s="36"/>
      <c r="E321" s="29"/>
      <c r="F321" s="29"/>
      <c r="G321" s="30"/>
      <c r="H321" s="30"/>
      <c r="I321" s="31"/>
      <c r="J321" s="34"/>
      <c r="K321" s="32"/>
    </row>
    <row r="322" ht="15.75" customHeight="1">
      <c r="A322" s="35"/>
      <c r="B322" s="36"/>
      <c r="C322" s="36"/>
      <c r="E322" s="29"/>
      <c r="F322" s="29"/>
      <c r="G322" s="30"/>
      <c r="H322" s="30"/>
      <c r="I322" s="31"/>
      <c r="J322" s="34"/>
      <c r="K322" s="32"/>
    </row>
    <row r="323" ht="15.75" customHeight="1">
      <c r="A323" s="35"/>
      <c r="B323" s="36"/>
      <c r="C323" s="36"/>
      <c r="E323" s="29"/>
      <c r="F323" s="29"/>
      <c r="G323" s="30"/>
      <c r="H323" s="30"/>
      <c r="I323" s="31"/>
      <c r="J323" s="34"/>
      <c r="K323" s="32"/>
    </row>
    <row r="324" ht="15.75" customHeight="1">
      <c r="A324" s="35"/>
      <c r="B324" s="36"/>
      <c r="C324" s="36"/>
      <c r="E324" s="29"/>
      <c r="F324" s="29"/>
      <c r="G324" s="30"/>
      <c r="H324" s="30"/>
      <c r="I324" s="31"/>
      <c r="J324" s="34"/>
      <c r="K324" s="32"/>
    </row>
    <row r="325" ht="15.75" customHeight="1">
      <c r="A325" s="35"/>
      <c r="B325" s="36"/>
      <c r="C325" s="36"/>
      <c r="E325" s="29"/>
      <c r="F325" s="29"/>
      <c r="G325" s="30"/>
      <c r="H325" s="30"/>
      <c r="I325" s="31"/>
      <c r="J325" s="34"/>
      <c r="K325" s="32"/>
    </row>
    <row r="326" ht="15.75" customHeight="1">
      <c r="A326" s="35"/>
      <c r="B326" s="36"/>
      <c r="C326" s="36"/>
      <c r="E326" s="29"/>
      <c r="F326" s="29"/>
      <c r="G326" s="30"/>
      <c r="H326" s="30"/>
      <c r="I326" s="31"/>
      <c r="J326" s="34"/>
      <c r="K326" s="32"/>
    </row>
    <row r="327" ht="15.75" customHeight="1">
      <c r="A327" s="35"/>
      <c r="B327" s="36"/>
      <c r="C327" s="36"/>
      <c r="E327" s="29"/>
      <c r="F327" s="29"/>
      <c r="G327" s="30"/>
      <c r="H327" s="30"/>
      <c r="I327" s="31"/>
      <c r="J327" s="34"/>
      <c r="K327" s="32"/>
    </row>
    <row r="328" ht="15.75" customHeight="1">
      <c r="A328" s="35"/>
      <c r="B328" s="36"/>
      <c r="C328" s="36"/>
      <c r="E328" s="29"/>
      <c r="F328" s="29"/>
      <c r="G328" s="30"/>
      <c r="H328" s="30"/>
      <c r="I328" s="31"/>
      <c r="J328" s="34"/>
      <c r="K328" s="32"/>
    </row>
    <row r="329" ht="15.75" customHeight="1">
      <c r="A329" s="35"/>
      <c r="B329" s="36"/>
      <c r="C329" s="36"/>
      <c r="E329" s="29"/>
      <c r="F329" s="29"/>
      <c r="G329" s="30"/>
      <c r="H329" s="30"/>
      <c r="I329" s="31"/>
      <c r="J329" s="34"/>
      <c r="K329" s="32"/>
    </row>
    <row r="330" ht="15.75" customHeight="1">
      <c r="A330" s="35"/>
      <c r="B330" s="36"/>
      <c r="C330" s="36"/>
      <c r="E330" s="29"/>
      <c r="F330" s="29"/>
      <c r="G330" s="30"/>
      <c r="H330" s="30"/>
      <c r="I330" s="31"/>
      <c r="J330" s="34"/>
      <c r="K330" s="32"/>
    </row>
    <row r="331" ht="15.75" customHeight="1">
      <c r="A331" s="35"/>
      <c r="B331" s="36"/>
      <c r="C331" s="36"/>
      <c r="E331" s="29"/>
      <c r="F331" s="29"/>
      <c r="G331" s="30"/>
      <c r="H331" s="30"/>
      <c r="I331" s="31"/>
      <c r="J331" s="34"/>
      <c r="K331" s="32"/>
    </row>
    <row r="332" ht="15.75" customHeight="1">
      <c r="A332" s="35"/>
      <c r="B332" s="36"/>
      <c r="C332" s="36"/>
      <c r="E332" s="29"/>
      <c r="F332" s="29"/>
      <c r="G332" s="30"/>
      <c r="H332" s="30"/>
      <c r="I332" s="31"/>
      <c r="J332" s="34"/>
      <c r="K332" s="32"/>
    </row>
    <row r="333" ht="15.75" customHeight="1">
      <c r="A333" s="35"/>
      <c r="B333" s="36"/>
      <c r="C333" s="36"/>
      <c r="E333" s="29"/>
      <c r="F333" s="29"/>
      <c r="G333" s="30"/>
      <c r="H333" s="30"/>
      <c r="I333" s="31"/>
      <c r="J333" s="34"/>
      <c r="K333" s="32"/>
    </row>
    <row r="334" ht="15.75" customHeight="1">
      <c r="A334" s="35"/>
      <c r="B334" s="36"/>
      <c r="C334" s="36"/>
      <c r="E334" s="29"/>
      <c r="F334" s="29"/>
      <c r="G334" s="30"/>
      <c r="H334" s="30"/>
      <c r="I334" s="31"/>
      <c r="J334" s="34"/>
      <c r="K334" s="32"/>
    </row>
    <row r="335" ht="15.75" customHeight="1">
      <c r="A335" s="35"/>
      <c r="B335" s="36"/>
      <c r="C335" s="36"/>
      <c r="E335" s="29"/>
      <c r="F335" s="29"/>
      <c r="G335" s="30"/>
      <c r="H335" s="30"/>
      <c r="I335" s="31"/>
      <c r="J335" s="34"/>
      <c r="K335" s="32"/>
    </row>
    <row r="336" ht="15.75" customHeight="1">
      <c r="A336" s="35"/>
      <c r="B336" s="36"/>
      <c r="C336" s="36"/>
      <c r="E336" s="29"/>
      <c r="F336" s="29"/>
      <c r="G336" s="30"/>
      <c r="H336" s="30"/>
      <c r="I336" s="31"/>
      <c r="J336" s="34"/>
      <c r="K336" s="32"/>
    </row>
    <row r="337" ht="15.75" customHeight="1">
      <c r="A337" s="35"/>
      <c r="B337" s="36"/>
      <c r="C337" s="36"/>
      <c r="E337" s="29"/>
      <c r="F337" s="29"/>
      <c r="G337" s="30"/>
      <c r="H337" s="30"/>
      <c r="I337" s="31"/>
      <c r="J337" s="34"/>
      <c r="K337" s="32"/>
    </row>
    <row r="338" ht="15.75" customHeight="1">
      <c r="A338" s="35"/>
      <c r="B338" s="36"/>
      <c r="C338" s="36"/>
      <c r="E338" s="29"/>
      <c r="F338" s="29"/>
      <c r="G338" s="30"/>
      <c r="H338" s="30"/>
      <c r="I338" s="31"/>
      <c r="J338" s="34"/>
      <c r="K338" s="32"/>
    </row>
    <row r="339" ht="15.75" customHeight="1">
      <c r="A339" s="35"/>
      <c r="B339" s="36"/>
      <c r="C339" s="36"/>
      <c r="E339" s="29"/>
      <c r="F339" s="29"/>
      <c r="G339" s="30"/>
      <c r="H339" s="30"/>
      <c r="I339" s="31"/>
      <c r="J339" s="34"/>
      <c r="K339" s="32"/>
    </row>
    <row r="340" ht="15.75" customHeight="1">
      <c r="A340" s="35"/>
      <c r="B340" s="36"/>
      <c r="C340" s="36"/>
      <c r="E340" s="29"/>
      <c r="F340" s="29"/>
      <c r="G340" s="30"/>
      <c r="H340" s="30"/>
      <c r="I340" s="31"/>
      <c r="J340" s="34"/>
      <c r="K340" s="32"/>
    </row>
    <row r="341" ht="15.75" customHeight="1">
      <c r="A341" s="35"/>
      <c r="B341" s="36"/>
      <c r="C341" s="36"/>
      <c r="E341" s="29"/>
      <c r="F341" s="29"/>
      <c r="G341" s="30"/>
      <c r="H341" s="30"/>
      <c r="I341" s="31"/>
      <c r="J341" s="34"/>
      <c r="K341" s="32"/>
    </row>
    <row r="342" ht="15.75" customHeight="1">
      <c r="A342" s="35"/>
      <c r="B342" s="36"/>
      <c r="C342" s="36"/>
      <c r="E342" s="29"/>
      <c r="F342" s="29"/>
      <c r="G342" s="30"/>
      <c r="H342" s="30"/>
      <c r="I342" s="31"/>
      <c r="J342" s="34"/>
      <c r="K342" s="32"/>
    </row>
    <row r="343" ht="15.75" customHeight="1">
      <c r="A343" s="35"/>
      <c r="B343" s="36"/>
      <c r="C343" s="36"/>
      <c r="E343" s="29"/>
      <c r="F343" s="29"/>
      <c r="G343" s="30"/>
      <c r="H343" s="30"/>
      <c r="I343" s="31"/>
      <c r="J343" s="34"/>
      <c r="K343" s="32"/>
    </row>
    <row r="344" ht="15.75" customHeight="1">
      <c r="A344" s="35"/>
      <c r="B344" s="36"/>
      <c r="C344" s="36"/>
      <c r="E344" s="29"/>
      <c r="F344" s="29"/>
      <c r="G344" s="30"/>
      <c r="H344" s="30"/>
      <c r="I344" s="31"/>
      <c r="J344" s="34"/>
      <c r="K344" s="32"/>
    </row>
    <row r="345" ht="15.75" customHeight="1">
      <c r="A345" s="35"/>
      <c r="B345" s="36"/>
      <c r="C345" s="36"/>
      <c r="E345" s="29"/>
      <c r="F345" s="29"/>
      <c r="G345" s="30"/>
      <c r="H345" s="30"/>
      <c r="I345" s="31"/>
      <c r="J345" s="34"/>
      <c r="K345" s="32"/>
    </row>
    <row r="346" ht="15.75" customHeight="1">
      <c r="A346" s="35"/>
      <c r="B346" s="36"/>
      <c r="C346" s="36"/>
      <c r="E346" s="29"/>
      <c r="F346" s="29"/>
      <c r="G346" s="30"/>
      <c r="H346" s="30"/>
      <c r="I346" s="31"/>
      <c r="J346" s="34"/>
      <c r="K346" s="32"/>
    </row>
    <row r="347" ht="15.75" customHeight="1">
      <c r="A347" s="35"/>
      <c r="B347" s="36"/>
      <c r="C347" s="36"/>
      <c r="E347" s="29"/>
      <c r="F347" s="29"/>
      <c r="G347" s="30"/>
      <c r="H347" s="30"/>
      <c r="I347" s="31"/>
      <c r="J347" s="34"/>
      <c r="K347" s="32"/>
    </row>
    <row r="348" ht="15.75" customHeight="1">
      <c r="A348" s="35"/>
      <c r="B348" s="36"/>
      <c r="C348" s="36"/>
      <c r="E348" s="29"/>
      <c r="F348" s="29"/>
      <c r="G348" s="30"/>
      <c r="H348" s="30"/>
      <c r="I348" s="31"/>
      <c r="J348" s="34"/>
      <c r="K348" s="32"/>
    </row>
    <row r="349" ht="15.75" customHeight="1">
      <c r="A349" s="35"/>
      <c r="B349" s="36"/>
      <c r="C349" s="36"/>
      <c r="E349" s="29"/>
      <c r="F349" s="29"/>
      <c r="G349" s="30"/>
      <c r="H349" s="30"/>
      <c r="I349" s="31"/>
      <c r="J349" s="34"/>
      <c r="K349" s="32"/>
    </row>
    <row r="350" ht="15.75" customHeight="1">
      <c r="A350" s="35"/>
      <c r="B350" s="36"/>
      <c r="C350" s="36"/>
      <c r="E350" s="29"/>
      <c r="F350" s="29"/>
      <c r="G350" s="30"/>
      <c r="H350" s="30"/>
      <c r="I350" s="31"/>
      <c r="J350" s="34"/>
      <c r="K350" s="32"/>
    </row>
    <row r="351" ht="15.75" customHeight="1">
      <c r="A351" s="35"/>
      <c r="B351" s="36"/>
      <c r="C351" s="36"/>
      <c r="E351" s="29"/>
      <c r="F351" s="29"/>
      <c r="G351" s="30"/>
      <c r="H351" s="30"/>
      <c r="I351" s="31"/>
      <c r="J351" s="34"/>
      <c r="K351" s="32"/>
    </row>
    <row r="352" ht="15.75" customHeight="1">
      <c r="A352" s="35"/>
      <c r="B352" s="36"/>
      <c r="C352" s="36"/>
      <c r="E352" s="29"/>
      <c r="F352" s="29"/>
      <c r="G352" s="30"/>
      <c r="H352" s="30"/>
      <c r="I352" s="31"/>
      <c r="J352" s="34"/>
      <c r="K352" s="32"/>
    </row>
    <row r="353" ht="15.75" customHeight="1">
      <c r="A353" s="35"/>
      <c r="B353" s="36"/>
      <c r="C353" s="36"/>
      <c r="E353" s="29"/>
      <c r="F353" s="29"/>
      <c r="G353" s="30"/>
      <c r="H353" s="30"/>
      <c r="I353" s="31"/>
      <c r="J353" s="34"/>
      <c r="K353" s="32"/>
    </row>
    <row r="354" ht="15.75" customHeight="1">
      <c r="A354" s="35"/>
      <c r="B354" s="36"/>
      <c r="C354" s="36"/>
      <c r="E354" s="29"/>
      <c r="F354" s="29"/>
      <c r="G354" s="30"/>
      <c r="H354" s="30"/>
      <c r="I354" s="31"/>
      <c r="J354" s="34"/>
      <c r="K354" s="32"/>
    </row>
    <row r="355" ht="15.75" customHeight="1">
      <c r="A355" s="35"/>
      <c r="B355" s="36"/>
      <c r="C355" s="36"/>
      <c r="E355" s="29"/>
      <c r="F355" s="29"/>
      <c r="G355" s="30"/>
      <c r="H355" s="30"/>
      <c r="I355" s="31"/>
      <c r="J355" s="34"/>
      <c r="K355" s="32"/>
    </row>
    <row r="356" ht="15.75" customHeight="1">
      <c r="A356" s="35"/>
      <c r="B356" s="36"/>
      <c r="C356" s="36"/>
      <c r="E356" s="29"/>
      <c r="F356" s="29"/>
      <c r="G356" s="30"/>
      <c r="H356" s="30"/>
      <c r="I356" s="31"/>
      <c r="J356" s="34"/>
      <c r="K356" s="32"/>
    </row>
    <row r="357" ht="15.75" customHeight="1">
      <c r="A357" s="35"/>
      <c r="B357" s="36"/>
      <c r="C357" s="36"/>
      <c r="E357" s="29"/>
      <c r="F357" s="29"/>
      <c r="G357" s="30"/>
      <c r="H357" s="30"/>
      <c r="I357" s="31"/>
      <c r="J357" s="34"/>
      <c r="K357" s="32"/>
    </row>
    <row r="358" ht="15.75" customHeight="1">
      <c r="A358" s="35"/>
      <c r="B358" s="36"/>
      <c r="C358" s="36"/>
      <c r="E358" s="29"/>
      <c r="F358" s="29"/>
      <c r="G358" s="30"/>
      <c r="H358" s="30"/>
      <c r="I358" s="31"/>
      <c r="J358" s="34"/>
      <c r="K358" s="32"/>
    </row>
    <row r="359" ht="15.75" customHeight="1">
      <c r="A359" s="35"/>
      <c r="B359" s="36"/>
      <c r="C359" s="36"/>
      <c r="E359" s="29"/>
      <c r="F359" s="29"/>
      <c r="G359" s="30"/>
      <c r="H359" s="30"/>
      <c r="I359" s="31"/>
      <c r="J359" s="34"/>
      <c r="K359" s="32"/>
    </row>
    <row r="360" ht="15.75" customHeight="1">
      <c r="A360" s="35"/>
      <c r="B360" s="36"/>
      <c r="C360" s="36"/>
      <c r="E360" s="29"/>
      <c r="F360" s="29"/>
      <c r="G360" s="30"/>
      <c r="H360" s="30"/>
      <c r="I360" s="31"/>
      <c r="J360" s="34"/>
      <c r="K360" s="32"/>
    </row>
    <row r="361" ht="15.75" customHeight="1">
      <c r="A361" s="35"/>
      <c r="B361" s="36"/>
      <c r="C361" s="36"/>
      <c r="E361" s="29"/>
      <c r="F361" s="29"/>
      <c r="G361" s="30"/>
      <c r="H361" s="30"/>
      <c r="I361" s="31"/>
      <c r="J361" s="34"/>
      <c r="K361" s="32"/>
    </row>
    <row r="362" ht="15.75" customHeight="1">
      <c r="A362" s="35"/>
      <c r="B362" s="36"/>
      <c r="C362" s="36"/>
      <c r="E362" s="29"/>
      <c r="F362" s="29"/>
      <c r="G362" s="30"/>
      <c r="H362" s="30"/>
      <c r="I362" s="31"/>
      <c r="J362" s="34"/>
      <c r="K362" s="32"/>
    </row>
    <row r="363" ht="15.75" customHeight="1">
      <c r="A363" s="35"/>
      <c r="B363" s="36"/>
      <c r="C363" s="36"/>
      <c r="E363" s="29"/>
      <c r="F363" s="29"/>
      <c r="G363" s="30"/>
      <c r="H363" s="30"/>
      <c r="I363" s="31"/>
      <c r="J363" s="34"/>
      <c r="K363" s="32"/>
    </row>
    <row r="364" ht="15.75" customHeight="1">
      <c r="A364" s="35"/>
      <c r="B364" s="36"/>
      <c r="C364" s="36"/>
      <c r="E364" s="29"/>
      <c r="F364" s="29"/>
      <c r="G364" s="30"/>
      <c r="H364" s="30"/>
      <c r="I364" s="31"/>
      <c r="J364" s="34"/>
      <c r="K364" s="32"/>
    </row>
    <row r="365" ht="15.75" customHeight="1">
      <c r="A365" s="35"/>
      <c r="B365" s="36"/>
      <c r="C365" s="36"/>
      <c r="E365" s="29"/>
      <c r="F365" s="29"/>
      <c r="G365" s="30"/>
      <c r="H365" s="30"/>
      <c r="I365" s="31"/>
      <c r="J365" s="34"/>
      <c r="K365" s="32"/>
    </row>
    <row r="366" ht="15.75" customHeight="1">
      <c r="A366" s="35"/>
      <c r="B366" s="36"/>
      <c r="C366" s="36"/>
      <c r="E366" s="29"/>
      <c r="F366" s="29"/>
      <c r="G366" s="30"/>
      <c r="H366" s="30"/>
      <c r="I366" s="31"/>
      <c r="J366" s="34"/>
      <c r="K366" s="32"/>
    </row>
    <row r="367" ht="15.75" customHeight="1">
      <c r="A367" s="35"/>
      <c r="B367" s="36"/>
      <c r="C367" s="36"/>
      <c r="E367" s="29"/>
      <c r="F367" s="29"/>
      <c r="G367" s="30"/>
      <c r="H367" s="30"/>
      <c r="I367" s="31"/>
      <c r="J367" s="34"/>
      <c r="K367" s="32"/>
    </row>
    <row r="368" ht="15.75" customHeight="1">
      <c r="A368" s="35"/>
      <c r="B368" s="36"/>
      <c r="C368" s="36"/>
      <c r="E368" s="29"/>
      <c r="F368" s="29"/>
      <c r="G368" s="30"/>
      <c r="H368" s="30"/>
      <c r="I368" s="31"/>
      <c r="J368" s="34"/>
      <c r="K368" s="32"/>
    </row>
    <row r="369" ht="15.75" customHeight="1">
      <c r="A369" s="35"/>
      <c r="B369" s="36"/>
      <c r="C369" s="36"/>
      <c r="E369" s="29"/>
      <c r="F369" s="29"/>
      <c r="G369" s="30"/>
      <c r="H369" s="30"/>
      <c r="I369" s="31"/>
      <c r="J369" s="34"/>
      <c r="K369" s="32"/>
    </row>
    <row r="370" ht="15.75" customHeight="1">
      <c r="A370" s="35"/>
      <c r="B370" s="36"/>
      <c r="C370" s="36"/>
      <c r="E370" s="29"/>
      <c r="F370" s="29"/>
      <c r="G370" s="30"/>
      <c r="H370" s="30"/>
      <c r="I370" s="31"/>
      <c r="J370" s="34"/>
      <c r="K370" s="32"/>
    </row>
    <row r="371" ht="15.75" customHeight="1">
      <c r="A371" s="35"/>
      <c r="B371" s="36"/>
      <c r="C371" s="36"/>
      <c r="E371" s="29"/>
      <c r="F371" s="29"/>
      <c r="G371" s="30"/>
      <c r="H371" s="30"/>
      <c r="I371" s="31"/>
      <c r="J371" s="34"/>
      <c r="K371" s="32"/>
    </row>
    <row r="372" ht="15.75" customHeight="1">
      <c r="A372" s="35"/>
      <c r="B372" s="36"/>
      <c r="C372" s="36"/>
      <c r="E372" s="29"/>
      <c r="F372" s="29"/>
      <c r="G372" s="30"/>
      <c r="H372" s="30"/>
      <c r="I372" s="31"/>
      <c r="J372" s="34"/>
      <c r="K372" s="32"/>
    </row>
    <row r="373" ht="15.75" customHeight="1">
      <c r="A373" s="35"/>
      <c r="B373" s="36"/>
      <c r="C373" s="36"/>
      <c r="E373" s="29"/>
      <c r="F373" s="29"/>
      <c r="G373" s="30"/>
      <c r="H373" s="30"/>
      <c r="I373" s="31"/>
      <c r="J373" s="34"/>
      <c r="K373" s="32"/>
    </row>
    <row r="374" ht="15.75" customHeight="1">
      <c r="A374" s="35"/>
      <c r="B374" s="36"/>
      <c r="C374" s="36"/>
      <c r="E374" s="29"/>
      <c r="F374" s="29"/>
      <c r="G374" s="30"/>
      <c r="H374" s="30"/>
      <c r="I374" s="31"/>
      <c r="J374" s="34"/>
      <c r="K374" s="32"/>
    </row>
    <row r="375" ht="15.75" customHeight="1">
      <c r="A375" s="35"/>
      <c r="B375" s="36"/>
      <c r="C375" s="36"/>
      <c r="E375" s="29"/>
      <c r="F375" s="29"/>
      <c r="G375" s="30"/>
      <c r="H375" s="30"/>
      <c r="I375" s="31"/>
      <c r="J375" s="34"/>
      <c r="K375" s="32"/>
    </row>
    <row r="376" ht="15.75" customHeight="1">
      <c r="A376" s="35"/>
      <c r="B376" s="36"/>
      <c r="C376" s="36"/>
      <c r="E376" s="29"/>
      <c r="F376" s="29"/>
      <c r="G376" s="30"/>
      <c r="H376" s="30"/>
      <c r="I376" s="31"/>
      <c r="J376" s="34"/>
      <c r="K376" s="32"/>
    </row>
    <row r="377" ht="15.75" customHeight="1">
      <c r="A377" s="35"/>
      <c r="B377" s="36"/>
      <c r="C377" s="36"/>
      <c r="E377" s="29"/>
      <c r="F377" s="29"/>
      <c r="G377" s="30"/>
      <c r="H377" s="30"/>
      <c r="I377" s="31"/>
      <c r="J377" s="34"/>
      <c r="K377" s="32"/>
    </row>
    <row r="378" ht="15.75" customHeight="1">
      <c r="A378" s="35"/>
      <c r="B378" s="36"/>
      <c r="C378" s="36"/>
      <c r="E378" s="29"/>
      <c r="F378" s="29"/>
      <c r="G378" s="30"/>
      <c r="H378" s="30"/>
      <c r="I378" s="31"/>
      <c r="J378" s="34"/>
      <c r="K378" s="32"/>
    </row>
    <row r="379" ht="15.75" customHeight="1">
      <c r="A379" s="35"/>
      <c r="B379" s="36"/>
      <c r="E379" s="29"/>
      <c r="F379" s="29"/>
      <c r="G379" s="30"/>
      <c r="H379" s="30"/>
      <c r="I379" s="31"/>
      <c r="J379" s="34"/>
      <c r="K379" s="32"/>
    </row>
    <row r="380" ht="15.75" customHeight="1">
      <c r="A380" s="35"/>
      <c r="B380" s="36"/>
      <c r="E380" s="37"/>
      <c r="F380" s="37"/>
      <c r="G380" s="38"/>
      <c r="H380" s="38"/>
      <c r="I380" s="31"/>
      <c r="J380" s="34"/>
      <c r="K380" s="32"/>
    </row>
  </sheetData>
  <autoFilter ref="$A$1:$Y$37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4" max="4" width="14.43"/>
    <col customWidth="1" min="5" max="5" width="37.29"/>
    <col customWidth="1" min="6" max="6" width="14.43"/>
  </cols>
  <sheetData>
    <row r="1" ht="15.75" customHeight="1">
      <c r="A1" s="39" t="s">
        <v>0</v>
      </c>
      <c r="B1" s="23" t="s">
        <v>16</v>
      </c>
      <c r="C1" s="23" t="s">
        <v>17</v>
      </c>
      <c r="F1" s="40" t="s">
        <v>23</v>
      </c>
      <c r="G1" s="40" t="s">
        <v>24</v>
      </c>
    </row>
    <row r="2" ht="15.75" customHeight="1">
      <c r="A2" s="8">
        <v>46083.0</v>
      </c>
      <c r="B2" s="29">
        <f>returns!E2</f>
        <v>0.01599882577</v>
      </c>
      <c r="C2" s="29">
        <f>returns!F2</f>
        <v>0</v>
      </c>
      <c r="E2" s="12" t="s">
        <v>25</v>
      </c>
      <c r="F2" s="41">
        <f t="shared" ref="F2:G2" si="1">MAX(B:B)</f>
        <v>0.1722282806</v>
      </c>
      <c r="G2" s="41">
        <f t="shared" si="1"/>
        <v>0.2233379942</v>
      </c>
    </row>
    <row r="3" ht="15.75" customHeight="1">
      <c r="A3" s="8">
        <v>46076.0</v>
      </c>
      <c r="B3" s="29">
        <f>returns!E3</f>
        <v>0.00983201581</v>
      </c>
      <c r="C3" s="29">
        <f>returns!F3</f>
        <v>-0.0210058574</v>
      </c>
      <c r="E3" s="12" t="s">
        <v>26</v>
      </c>
      <c r="F3" s="41">
        <f t="shared" ref="F3:G3" si="2">MIN(B:B)</f>
        <v>-0.1621522155</v>
      </c>
      <c r="G3" s="41">
        <f t="shared" si="2"/>
        <v>-0.08729364682</v>
      </c>
    </row>
    <row r="4" ht="15.75" customHeight="1">
      <c r="A4" s="8">
        <v>46069.0</v>
      </c>
      <c r="B4" s="29">
        <f>returns!E4</f>
        <v>0.110745253</v>
      </c>
      <c r="C4" s="29">
        <f>returns!F4</f>
        <v>0.02888611804</v>
      </c>
      <c r="E4" s="12" t="s">
        <v>27</v>
      </c>
      <c r="F4" s="41">
        <f t="shared" ref="F4:G4" si="3">F2-F3</f>
        <v>0.3343804961</v>
      </c>
      <c r="G4" s="41">
        <f t="shared" si="3"/>
        <v>0.310631641</v>
      </c>
      <c r="H4" s="12"/>
    </row>
    <row r="5" ht="15.75" customHeight="1">
      <c r="A5" s="8">
        <v>46062.0</v>
      </c>
      <c r="B5" s="29">
        <f>returns!E5</f>
        <v>0.1254400593</v>
      </c>
      <c r="C5" s="29">
        <f>returns!F5</f>
        <v>0.2233379942</v>
      </c>
      <c r="F5" s="42"/>
      <c r="G5" s="43"/>
    </row>
    <row r="6" ht="15.75" customHeight="1">
      <c r="A6" s="8">
        <v>46055.0</v>
      </c>
      <c r="B6" s="29">
        <f>returns!E6</f>
        <v>0.02643590719</v>
      </c>
      <c r="C6" s="29">
        <f>returns!F6</f>
        <v>0.02341615715</v>
      </c>
      <c r="E6" s="12" t="s">
        <v>28</v>
      </c>
      <c r="F6" s="41">
        <f>_xlfn.PERCENTILE.INC(B:B,0.75)</f>
        <v>0.03162527621</v>
      </c>
      <c r="G6" s="41">
        <f>(_xlfn.PERCENTILE.INC(C:C,0.75))</f>
        <v>0.02888611804</v>
      </c>
    </row>
    <row r="7" ht="15.75" customHeight="1">
      <c r="A7" s="8">
        <v>46048.0</v>
      </c>
      <c r="B7" s="29">
        <f>returns!E7</f>
        <v>0.03735367618</v>
      </c>
      <c r="C7" s="29">
        <f>returns!F7</f>
        <v>-0.06484184915</v>
      </c>
      <c r="E7" s="12" t="s">
        <v>29</v>
      </c>
      <c r="F7" s="41">
        <f t="shared" ref="F7:G7" si="4">(_xlfn.PERCENTILE.INC(B:B,0.25))</f>
        <v>-0.01366021298</v>
      </c>
      <c r="G7" s="41">
        <f t="shared" si="4"/>
        <v>-0.02749140893</v>
      </c>
      <c r="J7" s="44"/>
      <c r="K7" s="44"/>
      <c r="L7" s="44"/>
      <c r="M7" s="44"/>
    </row>
    <row r="8" ht="15.75" customHeight="1">
      <c r="A8" s="8">
        <v>46045.0</v>
      </c>
      <c r="B8" s="29">
        <f>returns!E8</f>
        <v>0.01400373433</v>
      </c>
      <c r="C8" s="29">
        <f>returns!F8</f>
        <v>-0.01545095221</v>
      </c>
      <c r="E8" s="12" t="s">
        <v>30</v>
      </c>
      <c r="F8" s="41">
        <f t="shared" ref="F8:G8" si="5">F6-F7</f>
        <v>0.04528548919</v>
      </c>
      <c r="G8" s="41">
        <f t="shared" si="5"/>
        <v>0.05637752697</v>
      </c>
      <c r="H8" s="12"/>
      <c r="J8" s="45"/>
      <c r="K8" s="46"/>
      <c r="L8" s="45"/>
      <c r="M8" s="44"/>
    </row>
    <row r="9" ht="15.75" customHeight="1">
      <c r="A9" s="8">
        <v>46034.0</v>
      </c>
      <c r="B9" s="29">
        <f>returns!E9</f>
        <v>-0.008397804668</v>
      </c>
      <c r="C9" s="29">
        <f>returns!F9</f>
        <v>-0.03053878309</v>
      </c>
      <c r="F9" s="42"/>
      <c r="G9" s="43"/>
      <c r="J9" s="45"/>
      <c r="K9" s="47"/>
      <c r="L9" s="46"/>
      <c r="M9" s="44"/>
    </row>
    <row r="10" ht="15.75" customHeight="1">
      <c r="A10" s="8">
        <v>46027.0</v>
      </c>
      <c r="B10" s="29">
        <f>returns!E10</f>
        <v>0.007528314457</v>
      </c>
      <c r="C10" s="29">
        <f>returns!F10</f>
        <v>-0.02136363636</v>
      </c>
      <c r="E10" s="48" t="s">
        <v>31</v>
      </c>
      <c r="F10" s="49">
        <f t="shared" ref="F10:G10" si="6">AVERAGE(B:B)</f>
        <v>0.01037905816</v>
      </c>
      <c r="G10" s="49">
        <f t="shared" si="6"/>
        <v>0.002333278103</v>
      </c>
      <c r="J10" s="45"/>
      <c r="K10" s="47"/>
      <c r="L10" s="45"/>
      <c r="M10" s="44"/>
    </row>
    <row r="11" ht="15.75" customHeight="1">
      <c r="A11" s="8">
        <v>46020.0</v>
      </c>
      <c r="B11" s="29">
        <f>returns!E11</f>
        <v>0.003409318805</v>
      </c>
      <c r="C11" s="29">
        <f>returns!F11</f>
        <v>-0.01632014308</v>
      </c>
      <c r="E11" s="48" t="s">
        <v>32</v>
      </c>
      <c r="F11" s="49">
        <f t="shared" ref="F11:G11" si="7">AVEDEV(B:B)*268/267</f>
        <v>0.0350215195</v>
      </c>
      <c r="G11" s="49">
        <f t="shared" si="7"/>
        <v>0.03860941876</v>
      </c>
      <c r="H11" s="50"/>
      <c r="J11" s="44"/>
      <c r="K11" s="51"/>
      <c r="L11" s="44"/>
      <c r="M11" s="44"/>
    </row>
    <row r="12" ht="15.75" customHeight="1">
      <c r="A12" s="8">
        <v>46013.0</v>
      </c>
      <c r="B12" s="29">
        <f>returns!E12</f>
        <v>-0.06716138688</v>
      </c>
      <c r="C12" s="29">
        <f>returns!F12</f>
        <v>-0.01681503462</v>
      </c>
      <c r="E12" s="48" t="s">
        <v>33</v>
      </c>
      <c r="F12" s="49">
        <f t="shared" ref="F12:G12" si="8">_xlfn.VAR.S(B:B)</f>
        <v>0.002626462671</v>
      </c>
      <c r="G12" s="49">
        <f t="shared" si="8"/>
        <v>0.002790390568</v>
      </c>
      <c r="H12" s="44"/>
      <c r="J12" s="44"/>
      <c r="K12" s="51"/>
      <c r="L12" s="44"/>
      <c r="M12" s="44"/>
    </row>
    <row r="13" ht="15.75" customHeight="1">
      <c r="A13" s="8">
        <v>46006.0</v>
      </c>
      <c r="B13" s="29">
        <f>returns!E13</f>
        <v>-0.03339361061</v>
      </c>
      <c r="C13" s="29">
        <f>returns!F13</f>
        <v>-0.03683709114</v>
      </c>
      <c r="E13" s="48" t="s">
        <v>34</v>
      </c>
      <c r="F13" s="49">
        <f t="shared" ref="F13:G13" si="9">_xlfn.STDEV.S(B:B)</f>
        <v>0.05124902605</v>
      </c>
      <c r="G13" s="49">
        <f t="shared" si="9"/>
        <v>0.05282414758</v>
      </c>
      <c r="H13" s="44"/>
      <c r="J13" s="44"/>
      <c r="K13" s="51"/>
      <c r="L13" s="44"/>
      <c r="M13" s="44"/>
    </row>
    <row r="14" ht="15.75" customHeight="1">
      <c r="A14" s="8">
        <v>45999.0</v>
      </c>
      <c r="B14" s="29">
        <f>returns!E14</f>
        <v>0.002416918429</v>
      </c>
      <c r="C14" s="29">
        <f>returns!F14</f>
        <v>0.0008475474097</v>
      </c>
      <c r="E14" s="52" t="s">
        <v>35</v>
      </c>
      <c r="F14" s="53">
        <f t="shared" ref="F14:G14" si="10">(F10-0)/F13</f>
        <v>0.2025220566</v>
      </c>
      <c r="G14" s="53">
        <f t="shared" si="10"/>
        <v>0.04417067213</v>
      </c>
      <c r="H14" s="44"/>
      <c r="J14" s="44"/>
      <c r="K14" s="51"/>
      <c r="L14" s="44"/>
      <c r="M14" s="44"/>
    </row>
    <row r="15" ht="15.75" customHeight="1">
      <c r="A15" s="8">
        <v>45992.0</v>
      </c>
      <c r="B15" s="29">
        <f>returns!E15</f>
        <v>-0.0137067938</v>
      </c>
      <c r="C15" s="29">
        <f>returns!F15</f>
        <v>-0.008404244143</v>
      </c>
      <c r="G15" s="43"/>
      <c r="H15" s="44"/>
      <c r="J15" s="44"/>
      <c r="K15" s="51"/>
      <c r="L15" s="44"/>
      <c r="M15" s="44"/>
    </row>
    <row r="16" ht="15.75" customHeight="1">
      <c r="A16" s="8">
        <v>45985.0</v>
      </c>
      <c r="B16" s="29">
        <f>returns!E16</f>
        <v>0.0314728301</v>
      </c>
      <c r="C16" s="29">
        <f>returns!F16</f>
        <v>-0.05037909018</v>
      </c>
      <c r="E16" s="44"/>
      <c r="F16" s="54"/>
      <c r="G16" s="43"/>
      <c r="H16" s="44"/>
      <c r="J16" s="44"/>
      <c r="K16" s="51"/>
      <c r="L16" s="44"/>
      <c r="M16" s="44"/>
    </row>
    <row r="17" ht="15.75" customHeight="1">
      <c r="A17" s="8">
        <v>45978.0</v>
      </c>
      <c r="B17" s="29">
        <f>returns!E17</f>
        <v>0.008930786405</v>
      </c>
      <c r="C17" s="29">
        <f>returns!F17</f>
        <v>-0.06822829522</v>
      </c>
      <c r="E17" s="44"/>
      <c r="F17" s="42"/>
      <c r="G17" s="43"/>
      <c r="J17" s="44"/>
      <c r="K17" s="51"/>
      <c r="L17" s="44"/>
      <c r="M17" s="44"/>
    </row>
    <row r="18" ht="15.75" customHeight="1">
      <c r="A18" s="8">
        <v>45971.0</v>
      </c>
      <c r="B18" s="29">
        <f>returns!E18</f>
        <v>0.1722282806</v>
      </c>
      <c r="C18" s="29">
        <f>returns!F18</f>
        <v>0.03134886396</v>
      </c>
      <c r="E18" s="44"/>
      <c r="F18" s="42"/>
      <c r="G18" s="43"/>
      <c r="J18" s="44"/>
      <c r="K18" s="51"/>
      <c r="L18" s="44"/>
      <c r="M18" s="44"/>
    </row>
    <row r="19" ht="15.75" customHeight="1">
      <c r="A19" s="8">
        <v>45957.0</v>
      </c>
      <c r="B19" s="29">
        <f>returns!E19</f>
        <v>0.05677627535</v>
      </c>
      <c r="C19" s="29">
        <f>returns!F19</f>
        <v>-0.06212911347</v>
      </c>
      <c r="E19" s="44"/>
      <c r="F19" s="42"/>
      <c r="G19" s="43"/>
      <c r="J19" s="44"/>
      <c r="K19" s="51"/>
      <c r="L19" s="44"/>
      <c r="M19" s="44"/>
    </row>
    <row r="20" ht="15.75" customHeight="1">
      <c r="A20" s="8">
        <v>45954.0</v>
      </c>
      <c r="B20" s="29">
        <f>returns!E20</f>
        <v>0.02327044025</v>
      </c>
      <c r="C20" s="29">
        <f>returns!F20</f>
        <v>0.007701368125</v>
      </c>
      <c r="E20" s="44"/>
      <c r="F20" s="42"/>
      <c r="G20" s="43"/>
    </row>
    <row r="21" ht="15.75" customHeight="1">
      <c r="A21" s="8">
        <v>45943.0</v>
      </c>
      <c r="B21" s="29">
        <f>returns!E21</f>
        <v>-0.03048780488</v>
      </c>
      <c r="C21" s="29">
        <f>returns!F21</f>
        <v>-0.01358477076</v>
      </c>
      <c r="E21" s="44"/>
      <c r="F21" s="42"/>
      <c r="G21" s="43"/>
    </row>
    <row r="22" ht="15.75" customHeight="1">
      <c r="A22" s="8">
        <v>45936.0</v>
      </c>
      <c r="B22" s="29">
        <f>returns!E22</f>
        <v>0.05780859469</v>
      </c>
      <c r="C22" s="29">
        <f>returns!F22</f>
        <v>0.0221065132</v>
      </c>
      <c r="E22" s="55"/>
      <c r="F22" s="42"/>
      <c r="G22" s="43"/>
    </row>
    <row r="23" ht="15.75" customHeight="1">
      <c r="A23" s="8">
        <v>45929.0</v>
      </c>
      <c r="B23" s="29">
        <f>returns!E23</f>
        <v>0.03177772232</v>
      </c>
      <c r="C23" s="29">
        <f>returns!F23</f>
        <v>-0.08729364682</v>
      </c>
      <c r="F23" s="42"/>
      <c r="G23" s="43"/>
    </row>
    <row r="24" ht="15.75" customHeight="1">
      <c r="A24" s="8">
        <v>45922.0</v>
      </c>
      <c r="B24" s="29">
        <f>returns!E24</f>
        <v>0.04557710707</v>
      </c>
      <c r="C24" s="29">
        <f>returns!F24</f>
        <v>-0.01696582247</v>
      </c>
      <c r="F24" s="42"/>
      <c r="G24" s="43"/>
    </row>
    <row r="25" ht="15.75" customHeight="1">
      <c r="A25" s="8">
        <v>45915.0</v>
      </c>
      <c r="B25" s="29">
        <f>returns!E25</f>
        <v>0.01914723872</v>
      </c>
      <c r="C25" s="29">
        <f>returns!F25</f>
        <v>0.05792074915</v>
      </c>
      <c r="F25" s="42"/>
      <c r="G25" s="43"/>
    </row>
    <row r="26" ht="15.75" customHeight="1">
      <c r="A26" s="8">
        <v>45908.0</v>
      </c>
      <c r="B26" s="29">
        <f>returns!E26</f>
        <v>-0.07182820471</v>
      </c>
      <c r="C26" s="29">
        <f>returns!F26</f>
        <v>-0.04733190154</v>
      </c>
      <c r="F26" s="42"/>
      <c r="G26" s="43"/>
    </row>
    <row r="27" ht="15.75" customHeight="1">
      <c r="A27" s="8">
        <v>45901.0</v>
      </c>
      <c r="B27" s="29">
        <f>returns!E27</f>
        <v>0.009720029908</v>
      </c>
      <c r="C27" s="29">
        <f>returns!F27</f>
        <v>-0.01336593317</v>
      </c>
      <c r="F27" s="42"/>
      <c r="G27" s="43"/>
    </row>
    <row r="28" ht="15.75" customHeight="1">
      <c r="A28" s="8">
        <v>45894.0</v>
      </c>
      <c r="B28" s="29">
        <f>returns!E28</f>
        <v>0.03038863208</v>
      </c>
      <c r="C28" s="29">
        <f>returns!F28</f>
        <v>0.03248064625</v>
      </c>
      <c r="F28" s="42"/>
      <c r="G28" s="43"/>
    </row>
    <row r="29" ht="15.75" customHeight="1">
      <c r="A29" s="8">
        <v>45887.0</v>
      </c>
      <c r="B29" s="29">
        <f>returns!E29</f>
        <v>-0.01666666667</v>
      </c>
      <c r="C29" s="29">
        <f>returns!F29</f>
        <v>-0.04454092298</v>
      </c>
      <c r="F29" s="42"/>
      <c r="G29" s="43"/>
    </row>
    <row r="30" ht="15.75" customHeight="1">
      <c r="A30" s="8">
        <v>45880.0</v>
      </c>
      <c r="B30" s="29">
        <f>returns!E30</f>
        <v>0.0546875</v>
      </c>
      <c r="C30" s="29">
        <f>returns!F30</f>
        <v>0.02946532031</v>
      </c>
      <c r="F30" s="42"/>
      <c r="G30" s="43"/>
    </row>
    <row r="31" ht="15.75" customHeight="1">
      <c r="A31" s="8">
        <v>45873.0</v>
      </c>
      <c r="B31" s="29">
        <f>returns!E31</f>
        <v>-0.009322779244</v>
      </c>
      <c r="C31" s="29">
        <f>returns!F31</f>
        <v>0.002988543915</v>
      </c>
      <c r="F31" s="42"/>
      <c r="G31" s="43"/>
    </row>
    <row r="32" ht="15.75" customHeight="1">
      <c r="A32" s="8">
        <v>45866.0</v>
      </c>
      <c r="B32" s="29">
        <f>returns!E32</f>
        <v>0.01517857143</v>
      </c>
      <c r="C32" s="29">
        <f>returns!F32</f>
        <v>-0.02768585035</v>
      </c>
      <c r="F32" s="42"/>
      <c r="G32" s="43"/>
    </row>
    <row r="33" ht="15.75" customHeight="1">
      <c r="A33" s="8">
        <v>45863.0</v>
      </c>
      <c r="B33" s="29">
        <f>returns!E33</f>
        <v>-0.0517314368</v>
      </c>
      <c r="C33" s="29">
        <f>returns!F33</f>
        <v>0.02253218884</v>
      </c>
      <c r="F33" s="42"/>
      <c r="G33" s="43"/>
    </row>
    <row r="34" ht="15.75" customHeight="1">
      <c r="A34" s="8">
        <v>45852.0</v>
      </c>
      <c r="B34" s="29">
        <f>returns!E34</f>
        <v>0.04800354925</v>
      </c>
      <c r="C34" s="29">
        <f>returns!F34</f>
        <v>0.04574486449</v>
      </c>
      <c r="F34" s="42"/>
      <c r="G34" s="43"/>
    </row>
    <row r="35" ht="15.75" customHeight="1">
      <c r="A35" s="8">
        <v>45845.0</v>
      </c>
      <c r="B35" s="29">
        <f>returns!E35</f>
        <v>-0.005120056497</v>
      </c>
      <c r="C35" s="29">
        <f>returns!F35</f>
        <v>-0.01855146125</v>
      </c>
      <c r="F35" s="42"/>
      <c r="G35" s="43"/>
    </row>
    <row r="36" ht="15.75" customHeight="1">
      <c r="A36" s="8">
        <v>45838.0</v>
      </c>
      <c r="B36" s="29">
        <f>returns!E36</f>
        <v>-0.03196034866</v>
      </c>
      <c r="C36" s="29">
        <f>returns!F36</f>
        <v>-0.02373470063</v>
      </c>
      <c r="F36" s="42"/>
      <c r="G36" s="43"/>
    </row>
    <row r="37" ht="15.75" customHeight="1">
      <c r="A37" s="8">
        <v>45831.0</v>
      </c>
      <c r="B37" s="29">
        <f>returns!E37</f>
        <v>0.05613718412</v>
      </c>
      <c r="C37" s="29">
        <f>returns!F37</f>
        <v>-0.02883302546</v>
      </c>
      <c r="F37" s="42"/>
      <c r="G37" s="43"/>
    </row>
    <row r="38" ht="15.75" customHeight="1">
      <c r="A38" s="8">
        <v>45824.0</v>
      </c>
      <c r="B38" s="29">
        <f>returns!E38</f>
        <v>0.04027790818</v>
      </c>
      <c r="C38" s="29">
        <f>returns!F38</f>
        <v>-0.04016342892</v>
      </c>
      <c r="F38" s="42"/>
      <c r="G38" s="43"/>
    </row>
    <row r="39" ht="15.75" customHeight="1">
      <c r="A39" s="8">
        <v>45817.0</v>
      </c>
      <c r="B39" s="29">
        <f>returns!E39</f>
        <v>-0.01361363215</v>
      </c>
      <c r="C39" s="29">
        <f>returns!F39</f>
        <v>-0.01957523997</v>
      </c>
      <c r="F39" s="42"/>
      <c r="G39" s="43"/>
    </row>
    <row r="40" ht="15.75" customHeight="1">
      <c r="A40" s="8">
        <v>45810.0</v>
      </c>
      <c r="B40" s="29">
        <f>returns!E40</f>
        <v>-0.000370301796</v>
      </c>
      <c r="C40" s="29">
        <f>returns!F40</f>
        <v>0.07446808511</v>
      </c>
      <c r="F40" s="42"/>
      <c r="G40" s="43"/>
    </row>
    <row r="41" ht="15.75" customHeight="1">
      <c r="A41" s="8">
        <v>45804.0</v>
      </c>
      <c r="B41" s="29">
        <f>returns!E41</f>
        <v>-0.05228987542</v>
      </c>
      <c r="C41" s="29">
        <f>returns!F41</f>
        <v>0.01592277865</v>
      </c>
      <c r="F41" s="42"/>
      <c r="G41" s="43"/>
    </row>
    <row r="42" ht="15.75" customHeight="1">
      <c r="A42" s="8">
        <v>45796.0</v>
      </c>
      <c r="B42" s="29">
        <f>returns!E42</f>
        <v>0.002550796024</v>
      </c>
      <c r="C42" s="29">
        <f>returns!F42</f>
        <v>-0.02368103101</v>
      </c>
      <c r="F42" s="42"/>
      <c r="G42" s="43"/>
    </row>
    <row r="43" ht="15.75" customHeight="1">
      <c r="A43" s="8">
        <v>45789.0</v>
      </c>
      <c r="B43" s="29">
        <f>returns!E43</f>
        <v>-0.02745936698</v>
      </c>
      <c r="C43" s="29">
        <f>returns!F43</f>
        <v>0.0284128562</v>
      </c>
      <c r="F43" s="42"/>
      <c r="G43" s="43"/>
    </row>
    <row r="44" ht="15.75" customHeight="1">
      <c r="A44" s="8">
        <v>45782.0</v>
      </c>
      <c r="B44" s="29">
        <f>returns!E44</f>
        <v>0.02024786176</v>
      </c>
      <c r="C44" s="29">
        <f>returns!F44</f>
        <v>0.01839041674</v>
      </c>
      <c r="F44" s="42"/>
      <c r="G44" s="43"/>
    </row>
    <row r="45" ht="15.75" customHeight="1">
      <c r="A45" s="8">
        <v>45775.0</v>
      </c>
      <c r="B45" s="29">
        <f>returns!E45</f>
        <v>0.006588772731</v>
      </c>
      <c r="C45" s="29">
        <f>returns!F45</f>
        <v>-0.005119597146</v>
      </c>
      <c r="F45" s="42"/>
      <c r="G45" s="43"/>
    </row>
    <row r="46" ht="15.75" customHeight="1">
      <c r="A46" s="8">
        <v>45772.0</v>
      </c>
      <c r="B46" s="29">
        <f>returns!E46</f>
        <v>-0.1621522155</v>
      </c>
      <c r="C46" s="29">
        <f>returns!F46</f>
        <v>0.04499210665</v>
      </c>
      <c r="F46" s="42"/>
      <c r="G46" s="43"/>
    </row>
    <row r="47" ht="15.75" customHeight="1">
      <c r="A47" s="8">
        <v>45761.0</v>
      </c>
      <c r="B47" s="29">
        <f>returns!E47</f>
        <v>-0.03316253914</v>
      </c>
      <c r="C47" s="29">
        <f>returns!F47</f>
        <v>-0.01409424989</v>
      </c>
      <c r="F47" s="42"/>
      <c r="G47" s="43"/>
    </row>
    <row r="48" ht="15.75" customHeight="1">
      <c r="A48" s="8">
        <v>45754.0</v>
      </c>
      <c r="B48" s="29">
        <f>returns!E48</f>
        <v>0.01495124594</v>
      </c>
      <c r="C48" s="29">
        <f>returns!F48</f>
        <v>0.04993191103</v>
      </c>
      <c r="F48" s="42"/>
      <c r="G48" s="43"/>
    </row>
    <row r="49" ht="15.75" customHeight="1">
      <c r="A49" s="8">
        <v>45747.0</v>
      </c>
      <c r="B49" s="29">
        <f>returns!E49</f>
        <v>0.06820461384</v>
      </c>
      <c r="C49" s="29">
        <f>returns!F49</f>
        <v>0.132065776</v>
      </c>
      <c r="F49" s="42"/>
      <c r="G49" s="43"/>
    </row>
    <row r="50" ht="15.75" customHeight="1">
      <c r="A50" s="8">
        <v>45740.0</v>
      </c>
      <c r="B50" s="29">
        <f>returns!E50</f>
        <v>-0.01810606061</v>
      </c>
      <c r="C50" s="29">
        <f>returns!F50</f>
        <v>0.05956659044</v>
      </c>
      <c r="F50" s="42"/>
      <c r="G50" s="43"/>
    </row>
    <row r="51" ht="15.75" customHeight="1">
      <c r="A51" s="8">
        <v>45733.0</v>
      </c>
      <c r="B51" s="29">
        <f>returns!E51</f>
        <v>0.02270086</v>
      </c>
      <c r="C51" s="29">
        <f>returns!F51</f>
        <v>0.07290571328</v>
      </c>
      <c r="F51" s="42"/>
      <c r="G51" s="43"/>
    </row>
    <row r="52" ht="15.75" customHeight="1">
      <c r="A52" s="8">
        <v>45726.0</v>
      </c>
      <c r="B52" s="29">
        <f>returns!E52</f>
        <v>-0.0135279731</v>
      </c>
      <c r="C52" s="29">
        <f>returns!F52</f>
        <v>-0.08352071956</v>
      </c>
      <c r="F52" s="42"/>
      <c r="G52" s="43"/>
    </row>
    <row r="53" ht="15.75" customHeight="1">
      <c r="A53" s="8">
        <v>46083.0</v>
      </c>
      <c r="B53" s="29"/>
      <c r="C53" s="29">
        <f>returns!F53</f>
        <v>-0.02749140893</v>
      </c>
      <c r="F53" s="42"/>
      <c r="G53" s="43"/>
    </row>
    <row r="54" ht="15.75" customHeight="1">
      <c r="A54" s="8">
        <v>46076.0</v>
      </c>
      <c r="B54" s="29"/>
      <c r="C54" s="29">
        <f>returns!F54</f>
        <v>0.04607843137</v>
      </c>
      <c r="F54" s="42"/>
      <c r="G54" s="43"/>
    </row>
    <row r="55" ht="15.75" customHeight="1">
      <c r="A55" s="8">
        <v>46069.0</v>
      </c>
      <c r="B55" s="29"/>
      <c r="C55" s="29"/>
      <c r="F55" s="42"/>
      <c r="G55" s="43"/>
    </row>
    <row r="56" ht="15.75" customHeight="1">
      <c r="A56" s="8">
        <v>46062.0</v>
      </c>
      <c r="B56" s="29"/>
      <c r="C56" s="29"/>
      <c r="F56" s="42"/>
      <c r="G56" s="43"/>
    </row>
    <row r="57" ht="15.75" customHeight="1">
      <c r="A57" s="8">
        <v>46055.0</v>
      </c>
      <c r="B57" s="29"/>
      <c r="C57" s="29"/>
      <c r="F57" s="42"/>
      <c r="G57" s="43"/>
    </row>
    <row r="58" ht="15.75" customHeight="1">
      <c r="A58" s="8">
        <v>46048.0</v>
      </c>
      <c r="B58" s="29"/>
      <c r="C58" s="29"/>
      <c r="F58" s="42"/>
      <c r="G58" s="43"/>
    </row>
    <row r="59" ht="15.75" customHeight="1">
      <c r="A59" s="8">
        <v>46045.0</v>
      </c>
      <c r="B59" s="29"/>
      <c r="C59" s="29"/>
      <c r="F59" s="42"/>
      <c r="G59" s="43"/>
    </row>
    <row r="60" ht="15.75" customHeight="1">
      <c r="A60" s="8">
        <v>46034.0</v>
      </c>
      <c r="B60" s="29"/>
      <c r="C60" s="29"/>
      <c r="F60" s="42"/>
      <c r="G60" s="43"/>
    </row>
    <row r="61" ht="15.75" customHeight="1">
      <c r="A61" s="8">
        <v>46027.0</v>
      </c>
      <c r="B61" s="29"/>
      <c r="C61" s="29"/>
      <c r="F61" s="42"/>
      <c r="G61" s="43"/>
    </row>
    <row r="62" ht="15.75" customHeight="1">
      <c r="A62" s="8">
        <v>46020.0</v>
      </c>
      <c r="B62" s="29"/>
      <c r="C62" s="29"/>
      <c r="F62" s="42"/>
      <c r="G62" s="43"/>
    </row>
    <row r="63" ht="15.75" customHeight="1">
      <c r="A63" s="8">
        <v>46013.0</v>
      </c>
      <c r="B63" s="29"/>
      <c r="C63" s="29"/>
      <c r="F63" s="42"/>
      <c r="G63" s="43"/>
    </row>
    <row r="64" ht="15.75" customHeight="1">
      <c r="A64" s="8">
        <v>46006.0</v>
      </c>
      <c r="B64" s="29"/>
      <c r="C64" s="29"/>
      <c r="F64" s="42"/>
      <c r="G64" s="43"/>
    </row>
    <row r="65" ht="15.75" customHeight="1">
      <c r="A65" s="8">
        <v>45999.0</v>
      </c>
      <c r="B65" s="29"/>
      <c r="C65" s="29"/>
      <c r="F65" s="42"/>
      <c r="G65" s="43"/>
    </row>
    <row r="66" ht="15.75" customHeight="1">
      <c r="A66" s="8">
        <v>45992.0</v>
      </c>
      <c r="B66" s="29"/>
      <c r="C66" s="29"/>
      <c r="F66" s="42"/>
      <c r="G66" s="43"/>
    </row>
    <row r="67" ht="15.75" customHeight="1">
      <c r="A67" s="8">
        <v>45985.0</v>
      </c>
      <c r="B67" s="29"/>
      <c r="C67" s="29"/>
      <c r="F67" s="42"/>
      <c r="G67" s="43"/>
    </row>
    <row r="68" ht="15.75" customHeight="1">
      <c r="A68" s="8">
        <v>45978.0</v>
      </c>
      <c r="B68" s="29"/>
      <c r="C68" s="29"/>
      <c r="F68" s="42"/>
      <c r="G68" s="43"/>
    </row>
    <row r="69" ht="15.75" customHeight="1">
      <c r="A69" s="8">
        <v>45971.0</v>
      </c>
      <c r="B69" s="29"/>
      <c r="C69" s="29"/>
      <c r="F69" s="42"/>
      <c r="G69" s="43"/>
    </row>
    <row r="70" ht="15.75" customHeight="1">
      <c r="A70" s="8">
        <v>45957.0</v>
      </c>
      <c r="B70" s="29"/>
      <c r="C70" s="29"/>
      <c r="F70" s="42"/>
      <c r="G70" s="43"/>
    </row>
    <row r="71" ht="15.75" customHeight="1">
      <c r="A71" s="8">
        <v>45954.0</v>
      </c>
      <c r="B71" s="29"/>
      <c r="C71" s="29"/>
      <c r="F71" s="42"/>
      <c r="G71" s="43"/>
    </row>
    <row r="72" ht="15.75" customHeight="1">
      <c r="A72" s="8">
        <v>45943.0</v>
      </c>
      <c r="B72" s="29"/>
      <c r="C72" s="29"/>
      <c r="F72" s="42"/>
      <c r="G72" s="43"/>
    </row>
    <row r="73" ht="15.75" customHeight="1">
      <c r="A73" s="8">
        <v>45936.0</v>
      </c>
      <c r="B73" s="29"/>
      <c r="C73" s="29"/>
      <c r="F73" s="42"/>
      <c r="G73" s="43"/>
    </row>
    <row r="74" ht="15.75" customHeight="1">
      <c r="A74" s="8">
        <v>45929.0</v>
      </c>
      <c r="B74" s="29"/>
      <c r="C74" s="29"/>
      <c r="F74" s="42"/>
      <c r="G74" s="43"/>
    </row>
    <row r="75" ht="15.75" customHeight="1">
      <c r="A75" s="8">
        <v>45922.0</v>
      </c>
      <c r="B75" s="29"/>
      <c r="C75" s="29"/>
      <c r="F75" s="42"/>
      <c r="G75" s="43"/>
    </row>
    <row r="76" ht="15.75" customHeight="1">
      <c r="A76" s="8">
        <v>45915.0</v>
      </c>
      <c r="B76" s="29"/>
      <c r="C76" s="29"/>
      <c r="F76" s="42"/>
      <c r="G76" s="43"/>
    </row>
    <row r="77" ht="15.75" customHeight="1">
      <c r="A77" s="8">
        <v>45908.0</v>
      </c>
      <c r="B77" s="29"/>
      <c r="C77" s="29"/>
      <c r="F77" s="42"/>
      <c r="G77" s="43"/>
    </row>
    <row r="78" ht="15.75" customHeight="1">
      <c r="A78" s="8">
        <v>45901.0</v>
      </c>
      <c r="B78" s="29"/>
      <c r="C78" s="29"/>
      <c r="F78" s="42"/>
      <c r="G78" s="43"/>
    </row>
    <row r="79" ht="15.75" customHeight="1">
      <c r="A79" s="8">
        <v>45894.0</v>
      </c>
      <c r="B79" s="29"/>
      <c r="C79" s="29"/>
      <c r="F79" s="42"/>
      <c r="G79" s="43"/>
    </row>
    <row r="80" ht="15.75" customHeight="1">
      <c r="A80" s="8">
        <v>45887.0</v>
      </c>
      <c r="B80" s="29"/>
      <c r="C80" s="29"/>
      <c r="F80" s="42"/>
      <c r="G80" s="43"/>
    </row>
    <row r="81" ht="15.75" customHeight="1">
      <c r="A81" s="8">
        <v>45880.0</v>
      </c>
      <c r="B81" s="29"/>
      <c r="C81" s="29"/>
      <c r="F81" s="42"/>
      <c r="G81" s="43"/>
    </row>
    <row r="82" ht="15.75" customHeight="1">
      <c r="A82" s="8">
        <v>45873.0</v>
      </c>
      <c r="B82" s="29"/>
      <c r="C82" s="29"/>
      <c r="F82" s="42"/>
      <c r="G82" s="43"/>
    </row>
    <row r="83" ht="15.75" customHeight="1">
      <c r="A83" s="8">
        <v>45866.0</v>
      </c>
      <c r="B83" s="29"/>
      <c r="C83" s="29"/>
      <c r="F83" s="42"/>
      <c r="G83" s="43"/>
    </row>
    <row r="84" ht="15.75" customHeight="1">
      <c r="A84" s="8">
        <v>45863.0</v>
      </c>
      <c r="B84" s="29"/>
      <c r="C84" s="29"/>
      <c r="F84" s="42"/>
      <c r="G84" s="43"/>
    </row>
    <row r="85" ht="15.75" customHeight="1">
      <c r="A85" s="8">
        <v>45852.0</v>
      </c>
      <c r="B85" s="29"/>
      <c r="C85" s="29"/>
      <c r="F85" s="42"/>
      <c r="G85" s="43"/>
    </row>
    <row r="86" ht="15.75" customHeight="1">
      <c r="A86" s="8">
        <v>45845.0</v>
      </c>
      <c r="B86" s="29"/>
      <c r="C86" s="29"/>
      <c r="F86" s="42"/>
      <c r="G86" s="43"/>
    </row>
    <row r="87" ht="15.75" customHeight="1">
      <c r="A87" s="8">
        <v>45838.0</v>
      </c>
      <c r="B87" s="29"/>
      <c r="C87" s="29"/>
      <c r="F87" s="42"/>
      <c r="G87" s="43"/>
    </row>
    <row r="88" ht="15.75" customHeight="1">
      <c r="A88" s="8">
        <v>45831.0</v>
      </c>
      <c r="B88" s="29"/>
      <c r="C88" s="29"/>
      <c r="F88" s="42"/>
      <c r="G88" s="43"/>
    </row>
    <row r="89" ht="15.75" customHeight="1">
      <c r="A89" s="8">
        <v>45824.0</v>
      </c>
      <c r="B89" s="29"/>
      <c r="C89" s="29"/>
      <c r="F89" s="42"/>
      <c r="G89" s="43"/>
    </row>
    <row r="90" ht="15.75" customHeight="1">
      <c r="A90" s="8">
        <v>45817.0</v>
      </c>
      <c r="B90" s="29"/>
      <c r="C90" s="29"/>
      <c r="F90" s="42"/>
      <c r="G90" s="43"/>
    </row>
    <row r="91" ht="15.75" customHeight="1">
      <c r="A91" s="8">
        <v>45810.0</v>
      </c>
      <c r="B91" s="29"/>
      <c r="C91" s="29"/>
      <c r="F91" s="42"/>
      <c r="G91" s="43"/>
    </row>
    <row r="92" ht="15.75" customHeight="1">
      <c r="A92" s="8">
        <v>45804.0</v>
      </c>
      <c r="B92" s="29"/>
      <c r="C92" s="29"/>
      <c r="F92" s="42"/>
      <c r="G92" s="43"/>
    </row>
    <row r="93" ht="15.75" customHeight="1">
      <c r="A93" s="8">
        <v>45796.0</v>
      </c>
      <c r="B93" s="29"/>
      <c r="C93" s="29"/>
      <c r="F93" s="42"/>
      <c r="G93" s="43"/>
    </row>
    <row r="94" ht="15.75" customHeight="1">
      <c r="A94" s="8">
        <v>45789.0</v>
      </c>
      <c r="B94" s="29"/>
      <c r="C94" s="29"/>
      <c r="F94" s="42"/>
      <c r="G94" s="43"/>
    </row>
    <row r="95" ht="15.75" customHeight="1">
      <c r="A95" s="8">
        <v>45782.0</v>
      </c>
      <c r="B95" s="29"/>
      <c r="C95" s="29"/>
      <c r="F95" s="42"/>
      <c r="G95" s="43"/>
    </row>
    <row r="96" ht="15.75" customHeight="1">
      <c r="A96" s="8">
        <v>45775.0</v>
      </c>
      <c r="B96" s="29"/>
      <c r="C96" s="29"/>
      <c r="F96" s="42"/>
      <c r="G96" s="43"/>
    </row>
    <row r="97" ht="15.75" customHeight="1">
      <c r="A97" s="8">
        <v>45772.0</v>
      </c>
      <c r="B97" s="29"/>
      <c r="C97" s="29"/>
      <c r="F97" s="42"/>
      <c r="G97" s="43"/>
    </row>
    <row r="98" ht="15.75" customHeight="1">
      <c r="A98" s="8">
        <v>45761.0</v>
      </c>
      <c r="B98" s="29"/>
      <c r="C98" s="29"/>
      <c r="F98" s="42"/>
      <c r="G98" s="43"/>
    </row>
    <row r="99" ht="15.75" customHeight="1">
      <c r="A99" s="8">
        <v>45754.0</v>
      </c>
      <c r="B99" s="29"/>
      <c r="C99" s="29"/>
      <c r="F99" s="42"/>
      <c r="G99" s="43"/>
    </row>
    <row r="100" ht="15.75" customHeight="1">
      <c r="A100" s="8">
        <v>45747.0</v>
      </c>
      <c r="B100" s="29"/>
      <c r="C100" s="29"/>
      <c r="F100" s="42"/>
      <c r="G100" s="43"/>
    </row>
    <row r="101" ht="15.75" customHeight="1">
      <c r="A101" s="8">
        <v>45740.0</v>
      </c>
      <c r="B101" s="29"/>
      <c r="C101" s="29"/>
      <c r="F101" s="42"/>
      <c r="G101" s="43"/>
    </row>
    <row r="102" ht="15.75" customHeight="1">
      <c r="A102" s="8">
        <v>45733.0</v>
      </c>
      <c r="B102" s="29"/>
      <c r="C102" s="29"/>
      <c r="F102" s="42"/>
      <c r="G102" s="43"/>
    </row>
    <row r="103" ht="15.75" customHeight="1">
      <c r="A103" s="8">
        <v>45726.0</v>
      </c>
      <c r="B103" s="29"/>
      <c r="C103" s="29"/>
      <c r="F103" s="42"/>
      <c r="G103" s="43"/>
    </row>
    <row r="104" ht="15.75" customHeight="1">
      <c r="A104" s="8">
        <v>46083.0</v>
      </c>
      <c r="B104" s="29"/>
      <c r="C104" s="29"/>
      <c r="F104" s="42"/>
      <c r="G104" s="43"/>
    </row>
    <row r="105" ht="15.75" customHeight="1">
      <c r="A105" s="8">
        <v>46076.0</v>
      </c>
      <c r="B105" s="29"/>
      <c r="C105" s="29"/>
      <c r="F105" s="42"/>
      <c r="G105" s="43"/>
    </row>
    <row r="106" ht="15.75" customHeight="1">
      <c r="A106" s="8">
        <v>46069.0</v>
      </c>
      <c r="B106" s="29"/>
      <c r="C106" s="29"/>
      <c r="F106" s="42"/>
      <c r="G106" s="43"/>
    </row>
    <row r="107" ht="15.75" customHeight="1">
      <c r="A107" s="8">
        <v>46062.0</v>
      </c>
      <c r="B107" s="29"/>
      <c r="C107" s="29"/>
      <c r="F107" s="42"/>
      <c r="G107" s="43"/>
    </row>
    <row r="108" ht="15.75" customHeight="1">
      <c r="A108" s="8">
        <v>46055.0</v>
      </c>
      <c r="B108" s="29"/>
      <c r="C108" s="29"/>
      <c r="F108" s="42"/>
      <c r="G108" s="43"/>
    </row>
    <row r="109" ht="15.75" customHeight="1">
      <c r="A109" s="8">
        <v>46048.0</v>
      </c>
      <c r="B109" s="29"/>
      <c r="C109" s="29"/>
      <c r="F109" s="42"/>
      <c r="G109" s="43"/>
    </row>
    <row r="110" ht="15.75" customHeight="1">
      <c r="A110" s="8">
        <v>46045.0</v>
      </c>
      <c r="B110" s="29"/>
      <c r="C110" s="29"/>
      <c r="F110" s="42"/>
      <c r="G110" s="43"/>
    </row>
    <row r="111" ht="15.75" customHeight="1">
      <c r="A111" s="8">
        <v>46034.0</v>
      </c>
      <c r="B111" s="29"/>
      <c r="C111" s="29"/>
      <c r="F111" s="42"/>
      <c r="G111" s="43"/>
    </row>
    <row r="112" ht="15.75" customHeight="1">
      <c r="A112" s="8">
        <v>46027.0</v>
      </c>
      <c r="B112" s="29"/>
      <c r="C112" s="29"/>
      <c r="F112" s="42"/>
      <c r="G112" s="43"/>
    </row>
    <row r="113" ht="15.75" customHeight="1">
      <c r="A113" s="8">
        <v>46020.0</v>
      </c>
      <c r="B113" s="29"/>
      <c r="C113" s="29"/>
      <c r="F113" s="42"/>
      <c r="G113" s="43"/>
    </row>
    <row r="114" ht="15.75" customHeight="1">
      <c r="A114" s="8">
        <v>46013.0</v>
      </c>
      <c r="B114" s="29"/>
      <c r="C114" s="29"/>
      <c r="F114" s="42"/>
      <c r="G114" s="43"/>
    </row>
    <row r="115" ht="15.75" customHeight="1">
      <c r="A115" s="8">
        <v>46006.0</v>
      </c>
      <c r="B115" s="29"/>
      <c r="C115" s="29"/>
      <c r="F115" s="42"/>
      <c r="G115" s="43"/>
    </row>
    <row r="116" ht="15.75" customHeight="1">
      <c r="A116" s="8">
        <v>45999.0</v>
      </c>
      <c r="B116" s="29"/>
      <c r="C116" s="29"/>
      <c r="F116" s="42"/>
      <c r="G116" s="43"/>
    </row>
    <row r="117" ht="15.75" customHeight="1">
      <c r="A117" s="8">
        <v>45992.0</v>
      </c>
      <c r="B117" s="29"/>
      <c r="C117" s="29"/>
      <c r="F117" s="42"/>
      <c r="G117" s="43"/>
    </row>
    <row r="118" ht="15.75" customHeight="1">
      <c r="A118" s="8">
        <v>45985.0</v>
      </c>
      <c r="B118" s="29"/>
      <c r="C118" s="29"/>
      <c r="F118" s="42"/>
      <c r="G118" s="43"/>
    </row>
    <row r="119" ht="15.75" customHeight="1">
      <c r="A119" s="8">
        <v>45978.0</v>
      </c>
      <c r="B119" s="29"/>
      <c r="C119" s="29"/>
      <c r="F119" s="42"/>
      <c r="G119" s="43"/>
    </row>
    <row r="120" ht="15.75" customHeight="1">
      <c r="A120" s="8">
        <v>45971.0</v>
      </c>
      <c r="B120" s="29"/>
      <c r="C120" s="29"/>
      <c r="F120" s="42"/>
      <c r="G120" s="43"/>
    </row>
    <row r="121" ht="15.75" customHeight="1">
      <c r="A121" s="8">
        <v>45957.0</v>
      </c>
      <c r="B121" s="29"/>
      <c r="C121" s="29"/>
      <c r="F121" s="42"/>
      <c r="G121" s="43"/>
    </row>
    <row r="122" ht="15.75" customHeight="1">
      <c r="A122" s="8">
        <v>45954.0</v>
      </c>
      <c r="B122" s="29"/>
      <c r="C122" s="29"/>
      <c r="F122" s="42"/>
      <c r="G122" s="43"/>
    </row>
    <row r="123" ht="15.75" customHeight="1">
      <c r="A123" s="8">
        <v>45943.0</v>
      </c>
      <c r="B123" s="29"/>
      <c r="C123" s="29"/>
      <c r="F123" s="42"/>
      <c r="G123" s="43"/>
    </row>
    <row r="124" ht="15.75" customHeight="1">
      <c r="A124" s="8">
        <v>45936.0</v>
      </c>
      <c r="B124" s="29"/>
      <c r="C124" s="29"/>
      <c r="F124" s="42"/>
      <c r="G124" s="43"/>
    </row>
    <row r="125" ht="15.75" customHeight="1">
      <c r="A125" s="8">
        <v>45929.0</v>
      </c>
      <c r="B125" s="29"/>
      <c r="C125" s="29"/>
      <c r="F125" s="42"/>
      <c r="G125" s="43"/>
    </row>
    <row r="126" ht="15.75" customHeight="1">
      <c r="A126" s="8">
        <v>45922.0</v>
      </c>
      <c r="B126" s="29"/>
      <c r="C126" s="29"/>
      <c r="F126" s="42"/>
      <c r="G126" s="43"/>
    </row>
    <row r="127" ht="15.75" customHeight="1">
      <c r="A127" s="8">
        <v>45915.0</v>
      </c>
      <c r="B127" s="29"/>
      <c r="C127" s="29"/>
      <c r="F127" s="42"/>
      <c r="G127" s="43"/>
    </row>
    <row r="128" ht="15.75" customHeight="1">
      <c r="A128" s="8">
        <v>45908.0</v>
      </c>
      <c r="B128" s="29"/>
      <c r="C128" s="29"/>
      <c r="F128" s="42"/>
      <c r="G128" s="43"/>
    </row>
    <row r="129" ht="15.75" customHeight="1">
      <c r="A129" s="8">
        <v>45901.0</v>
      </c>
      <c r="B129" s="29"/>
      <c r="C129" s="29"/>
      <c r="F129" s="42"/>
      <c r="G129" s="43"/>
    </row>
    <row r="130" ht="15.75" customHeight="1">
      <c r="A130" s="8">
        <v>45894.0</v>
      </c>
      <c r="B130" s="29"/>
      <c r="C130" s="29"/>
      <c r="F130" s="42"/>
      <c r="G130" s="43"/>
    </row>
    <row r="131" ht="15.75" customHeight="1">
      <c r="A131" s="8">
        <v>45887.0</v>
      </c>
      <c r="B131" s="29"/>
      <c r="C131" s="29"/>
      <c r="F131" s="42"/>
      <c r="G131" s="43"/>
    </row>
    <row r="132" ht="15.75" customHeight="1">
      <c r="A132" s="8">
        <v>45880.0</v>
      </c>
      <c r="B132" s="29"/>
      <c r="C132" s="29"/>
      <c r="F132" s="42"/>
      <c r="G132" s="43"/>
    </row>
    <row r="133" ht="15.75" customHeight="1">
      <c r="A133" s="8">
        <v>45873.0</v>
      </c>
      <c r="B133" s="29"/>
      <c r="C133" s="29"/>
      <c r="F133" s="42"/>
      <c r="G133" s="43"/>
    </row>
    <row r="134" ht="15.75" customHeight="1">
      <c r="A134" s="8">
        <v>45866.0</v>
      </c>
      <c r="B134" s="29"/>
      <c r="C134" s="29"/>
      <c r="F134" s="42"/>
      <c r="G134" s="43"/>
    </row>
    <row r="135" ht="15.75" customHeight="1">
      <c r="A135" s="8">
        <v>45863.0</v>
      </c>
      <c r="B135" s="29"/>
      <c r="C135" s="29"/>
      <c r="F135" s="42"/>
      <c r="G135" s="43"/>
    </row>
    <row r="136" ht="15.75" customHeight="1">
      <c r="A136" s="8">
        <v>45852.0</v>
      </c>
      <c r="B136" s="29"/>
      <c r="C136" s="29"/>
      <c r="F136" s="42"/>
      <c r="G136" s="43"/>
    </row>
    <row r="137" ht="15.75" customHeight="1">
      <c r="A137" s="8">
        <v>45845.0</v>
      </c>
      <c r="B137" s="29"/>
      <c r="C137" s="29"/>
      <c r="F137" s="42"/>
      <c r="G137" s="43"/>
    </row>
    <row r="138" ht="15.75" customHeight="1">
      <c r="A138" s="8">
        <v>45838.0</v>
      </c>
      <c r="B138" s="29"/>
      <c r="C138" s="29"/>
      <c r="F138" s="42"/>
      <c r="G138" s="43"/>
    </row>
    <row r="139" ht="15.75" customHeight="1">
      <c r="A139" s="8">
        <v>45831.0</v>
      </c>
      <c r="B139" s="29"/>
      <c r="C139" s="29"/>
      <c r="F139" s="42"/>
      <c r="G139" s="43"/>
    </row>
    <row r="140" ht="15.75" customHeight="1">
      <c r="A140" s="8">
        <v>45824.0</v>
      </c>
      <c r="B140" s="29"/>
      <c r="C140" s="29"/>
      <c r="F140" s="42"/>
      <c r="G140" s="43"/>
    </row>
    <row r="141" ht="15.75" customHeight="1">
      <c r="A141" s="8">
        <v>45817.0</v>
      </c>
      <c r="B141" s="29"/>
      <c r="C141" s="29"/>
      <c r="F141" s="42"/>
      <c r="G141" s="43"/>
    </row>
    <row r="142" ht="15.75" customHeight="1">
      <c r="A142" s="8">
        <v>45810.0</v>
      </c>
      <c r="B142" s="29"/>
      <c r="C142" s="29"/>
      <c r="F142" s="42"/>
      <c r="G142" s="43"/>
    </row>
    <row r="143" ht="15.75" customHeight="1">
      <c r="A143" s="8">
        <v>45804.0</v>
      </c>
      <c r="B143" s="29"/>
      <c r="C143" s="29"/>
      <c r="F143" s="42"/>
      <c r="G143" s="43"/>
    </row>
    <row r="144" ht="15.75" customHeight="1">
      <c r="A144" s="8">
        <v>45796.0</v>
      </c>
      <c r="B144" s="29"/>
      <c r="C144" s="29"/>
      <c r="F144" s="42"/>
      <c r="G144" s="43"/>
    </row>
    <row r="145" ht="15.75" customHeight="1">
      <c r="A145" s="8">
        <v>45789.0</v>
      </c>
      <c r="B145" s="29"/>
      <c r="C145" s="29"/>
      <c r="F145" s="42"/>
      <c r="G145" s="43"/>
    </row>
    <row r="146" ht="15.75" customHeight="1">
      <c r="A146" s="8">
        <v>45782.0</v>
      </c>
      <c r="B146" s="29"/>
      <c r="C146" s="29"/>
      <c r="F146" s="42"/>
      <c r="G146" s="43"/>
    </row>
    <row r="147" ht="15.75" customHeight="1">
      <c r="A147" s="8">
        <v>45775.0</v>
      </c>
      <c r="B147" s="29"/>
      <c r="C147" s="29"/>
      <c r="F147" s="42"/>
      <c r="G147" s="43"/>
    </row>
    <row r="148" ht="15.75" customHeight="1">
      <c r="A148" s="8">
        <v>45772.0</v>
      </c>
      <c r="B148" s="29"/>
      <c r="C148" s="29"/>
      <c r="F148" s="42"/>
      <c r="G148" s="43"/>
    </row>
    <row r="149" ht="15.75" customHeight="1">
      <c r="A149" s="8">
        <v>45761.0</v>
      </c>
      <c r="B149" s="29"/>
      <c r="C149" s="29"/>
      <c r="F149" s="42"/>
      <c r="G149" s="43"/>
    </row>
    <row r="150" ht="15.75" customHeight="1">
      <c r="A150" s="8">
        <v>45754.0</v>
      </c>
      <c r="B150" s="29"/>
      <c r="C150" s="29"/>
      <c r="F150" s="42"/>
      <c r="G150" s="43"/>
    </row>
    <row r="151" ht="15.75" customHeight="1">
      <c r="A151" s="8">
        <v>45747.0</v>
      </c>
      <c r="B151" s="29"/>
      <c r="C151" s="29"/>
      <c r="F151" s="42"/>
      <c r="G151" s="43"/>
    </row>
    <row r="152" ht="15.75" customHeight="1">
      <c r="A152" s="8">
        <v>45740.0</v>
      </c>
      <c r="B152" s="29"/>
      <c r="C152" s="29"/>
      <c r="F152" s="42"/>
      <c r="G152" s="43"/>
    </row>
    <row r="153" ht="15.75" customHeight="1">
      <c r="A153" s="8">
        <v>45733.0</v>
      </c>
      <c r="B153" s="29"/>
      <c r="C153" s="29"/>
      <c r="F153" s="42"/>
      <c r="G153" s="43"/>
    </row>
    <row r="154" ht="15.75" customHeight="1">
      <c r="A154" s="8">
        <v>45726.0</v>
      </c>
      <c r="B154" s="29"/>
      <c r="C154" s="29"/>
      <c r="F154" s="42"/>
      <c r="G154" s="43"/>
    </row>
    <row r="155" ht="15.75" customHeight="1">
      <c r="A155" s="8">
        <v>46083.0</v>
      </c>
      <c r="B155" s="29"/>
      <c r="C155" s="29"/>
      <c r="F155" s="42"/>
      <c r="G155" s="43"/>
    </row>
    <row r="156" ht="15.75" customHeight="1">
      <c r="A156" s="8">
        <v>46076.0</v>
      </c>
      <c r="B156" s="29"/>
      <c r="C156" s="29"/>
      <c r="F156" s="42"/>
      <c r="G156" s="43"/>
    </row>
    <row r="157" ht="15.75" customHeight="1">
      <c r="A157" s="8">
        <v>46069.0</v>
      </c>
      <c r="B157" s="29"/>
      <c r="C157" s="29"/>
      <c r="F157" s="42"/>
      <c r="G157" s="43"/>
    </row>
    <row r="158" ht="15.75" customHeight="1">
      <c r="A158" s="8">
        <v>46062.0</v>
      </c>
      <c r="B158" s="29"/>
      <c r="C158" s="29"/>
      <c r="F158" s="42"/>
      <c r="G158" s="43"/>
    </row>
    <row r="159" ht="15.75" customHeight="1">
      <c r="A159" s="8">
        <v>46055.0</v>
      </c>
      <c r="B159" s="29"/>
      <c r="C159" s="29"/>
      <c r="F159" s="42"/>
      <c r="G159" s="43"/>
    </row>
    <row r="160" ht="15.75" customHeight="1">
      <c r="A160" s="8">
        <v>46048.0</v>
      </c>
      <c r="B160" s="29"/>
      <c r="C160" s="29"/>
      <c r="F160" s="42"/>
      <c r="G160" s="43"/>
    </row>
    <row r="161" ht="15.75" customHeight="1">
      <c r="A161" s="8">
        <v>46045.0</v>
      </c>
      <c r="B161" s="29"/>
      <c r="C161" s="29"/>
      <c r="F161" s="42"/>
      <c r="G161" s="43"/>
    </row>
    <row r="162" ht="15.75" customHeight="1">
      <c r="A162" s="8">
        <v>46034.0</v>
      </c>
      <c r="B162" s="29"/>
      <c r="C162" s="29"/>
      <c r="F162" s="42"/>
      <c r="G162" s="43"/>
    </row>
    <row r="163" ht="15.75" customHeight="1">
      <c r="A163" s="8">
        <v>46027.0</v>
      </c>
      <c r="B163" s="29"/>
      <c r="C163" s="29"/>
      <c r="F163" s="42"/>
      <c r="G163" s="43"/>
    </row>
    <row r="164" ht="15.75" customHeight="1">
      <c r="A164" s="8">
        <v>46020.0</v>
      </c>
      <c r="B164" s="29"/>
      <c r="C164" s="29"/>
      <c r="F164" s="42"/>
      <c r="G164" s="43"/>
    </row>
    <row r="165" ht="15.75" customHeight="1">
      <c r="A165" s="8">
        <v>46013.0</v>
      </c>
      <c r="B165" s="29"/>
      <c r="C165" s="29"/>
      <c r="F165" s="42"/>
      <c r="G165" s="43"/>
    </row>
    <row r="166" ht="15.75" customHeight="1">
      <c r="A166" s="8">
        <v>46006.0</v>
      </c>
      <c r="B166" s="29"/>
      <c r="C166" s="29"/>
      <c r="F166" s="42"/>
      <c r="G166" s="43"/>
    </row>
    <row r="167" ht="15.75" customHeight="1">
      <c r="A167" s="8">
        <v>45999.0</v>
      </c>
      <c r="B167" s="29"/>
      <c r="C167" s="29"/>
      <c r="F167" s="42"/>
      <c r="G167" s="43"/>
    </row>
    <row r="168" ht="15.75" customHeight="1">
      <c r="A168" s="8">
        <v>45992.0</v>
      </c>
      <c r="B168" s="29"/>
      <c r="C168" s="29"/>
      <c r="F168" s="42"/>
      <c r="G168" s="43"/>
    </row>
    <row r="169" ht="15.75" customHeight="1">
      <c r="A169" s="8">
        <v>45985.0</v>
      </c>
      <c r="B169" s="29"/>
      <c r="C169" s="29"/>
      <c r="F169" s="42"/>
      <c r="G169" s="43"/>
    </row>
    <row r="170" ht="15.75" customHeight="1">
      <c r="A170" s="8">
        <v>45978.0</v>
      </c>
      <c r="B170" s="29"/>
      <c r="C170" s="29"/>
      <c r="F170" s="42"/>
      <c r="G170" s="43"/>
    </row>
    <row r="171" ht="15.75" customHeight="1">
      <c r="A171" s="8">
        <v>45971.0</v>
      </c>
      <c r="B171" s="29"/>
      <c r="C171" s="29"/>
      <c r="F171" s="42"/>
      <c r="G171" s="43"/>
    </row>
    <row r="172" ht="15.75" customHeight="1">
      <c r="A172" s="8">
        <v>45957.0</v>
      </c>
      <c r="B172" s="29"/>
      <c r="C172" s="29"/>
      <c r="F172" s="42"/>
      <c r="G172" s="43"/>
    </row>
    <row r="173" ht="15.75" customHeight="1">
      <c r="A173" s="8">
        <v>45954.0</v>
      </c>
      <c r="B173" s="29"/>
      <c r="C173" s="29"/>
      <c r="F173" s="42"/>
      <c r="G173" s="43"/>
    </row>
    <row r="174" ht="15.75" customHeight="1">
      <c r="A174" s="8">
        <v>45943.0</v>
      </c>
      <c r="B174" s="29"/>
      <c r="C174" s="29"/>
      <c r="F174" s="42"/>
      <c r="G174" s="43"/>
    </row>
    <row r="175" ht="15.75" customHeight="1">
      <c r="A175" s="8">
        <v>45936.0</v>
      </c>
      <c r="B175" s="29"/>
      <c r="C175" s="29"/>
      <c r="F175" s="42"/>
      <c r="G175" s="43"/>
    </row>
    <row r="176" ht="15.75" customHeight="1">
      <c r="A176" s="8">
        <v>45929.0</v>
      </c>
      <c r="B176" s="29"/>
      <c r="C176" s="29"/>
      <c r="F176" s="42"/>
      <c r="G176" s="43"/>
    </row>
    <row r="177" ht="15.75" customHeight="1">
      <c r="A177" s="8">
        <v>45922.0</v>
      </c>
      <c r="B177" s="29"/>
      <c r="C177" s="29"/>
      <c r="F177" s="42"/>
      <c r="G177" s="43"/>
    </row>
    <row r="178" ht="15.75" customHeight="1">
      <c r="A178" s="8">
        <v>45915.0</v>
      </c>
      <c r="B178" s="29"/>
      <c r="C178" s="29"/>
      <c r="F178" s="42"/>
      <c r="G178" s="43"/>
    </row>
    <row r="179" ht="15.75" customHeight="1">
      <c r="A179" s="8">
        <v>45908.0</v>
      </c>
      <c r="B179" s="29"/>
      <c r="C179" s="29"/>
      <c r="F179" s="42"/>
      <c r="G179" s="43"/>
    </row>
    <row r="180" ht="15.75" customHeight="1">
      <c r="A180" s="8">
        <v>45901.0</v>
      </c>
      <c r="B180" s="29"/>
      <c r="C180" s="29"/>
      <c r="F180" s="42"/>
      <c r="G180" s="43"/>
    </row>
    <row r="181" ht="15.75" customHeight="1">
      <c r="A181" s="8">
        <v>45894.0</v>
      </c>
      <c r="B181" s="29"/>
      <c r="C181" s="29"/>
      <c r="F181" s="42"/>
      <c r="G181" s="43"/>
    </row>
    <row r="182" ht="15.75" customHeight="1">
      <c r="A182" s="8">
        <v>45887.0</v>
      </c>
      <c r="B182" s="29"/>
      <c r="C182" s="29"/>
      <c r="F182" s="42"/>
      <c r="G182" s="43"/>
    </row>
    <row r="183" ht="15.75" customHeight="1">
      <c r="A183" s="8">
        <v>45880.0</v>
      </c>
      <c r="B183" s="29"/>
      <c r="C183" s="29"/>
      <c r="F183" s="42"/>
      <c r="G183" s="43"/>
    </row>
    <row r="184" ht="15.75" customHeight="1">
      <c r="A184" s="8">
        <v>45873.0</v>
      </c>
      <c r="B184" s="29"/>
      <c r="C184" s="29"/>
      <c r="F184" s="42"/>
      <c r="G184" s="43"/>
    </row>
    <row r="185" ht="15.75" customHeight="1">
      <c r="A185" s="8">
        <v>45866.0</v>
      </c>
      <c r="B185" s="29"/>
      <c r="C185" s="29"/>
      <c r="F185" s="42"/>
      <c r="G185" s="43"/>
    </row>
    <row r="186" ht="15.75" customHeight="1">
      <c r="A186" s="8">
        <v>45863.0</v>
      </c>
      <c r="B186" s="29"/>
      <c r="C186" s="29"/>
      <c r="F186" s="42"/>
      <c r="G186" s="43"/>
    </row>
    <row r="187" ht="15.75" customHeight="1">
      <c r="A187" s="8">
        <v>45852.0</v>
      </c>
      <c r="B187" s="29"/>
      <c r="C187" s="29"/>
      <c r="F187" s="42"/>
      <c r="G187" s="43"/>
    </row>
    <row r="188" ht="15.75" customHeight="1">
      <c r="A188" s="8">
        <v>45845.0</v>
      </c>
      <c r="B188" s="29"/>
      <c r="C188" s="29"/>
      <c r="F188" s="42"/>
      <c r="G188" s="43"/>
    </row>
    <row r="189" ht="15.75" customHeight="1">
      <c r="A189" s="8">
        <v>45838.0</v>
      </c>
      <c r="B189" s="29"/>
      <c r="C189" s="29"/>
      <c r="F189" s="42"/>
      <c r="G189" s="43"/>
    </row>
    <row r="190" ht="15.75" customHeight="1">
      <c r="A190" s="8">
        <v>45831.0</v>
      </c>
      <c r="B190" s="29"/>
      <c r="C190" s="29"/>
      <c r="F190" s="42"/>
      <c r="G190" s="43"/>
    </row>
    <row r="191" ht="15.75" customHeight="1">
      <c r="A191" s="8">
        <v>45824.0</v>
      </c>
      <c r="B191" s="29"/>
      <c r="C191" s="29"/>
      <c r="F191" s="42"/>
      <c r="G191" s="43"/>
    </row>
    <row r="192" ht="15.75" customHeight="1">
      <c r="A192" s="8">
        <v>45817.0</v>
      </c>
      <c r="B192" s="29"/>
      <c r="C192" s="29"/>
      <c r="F192" s="42"/>
      <c r="G192" s="43"/>
    </row>
    <row r="193" ht="15.75" customHeight="1">
      <c r="A193" s="8">
        <v>45810.0</v>
      </c>
      <c r="B193" s="29"/>
      <c r="C193" s="29"/>
      <c r="F193" s="42"/>
      <c r="G193" s="43"/>
    </row>
    <row r="194" ht="15.75" customHeight="1">
      <c r="A194" s="8">
        <v>45804.0</v>
      </c>
      <c r="B194" s="29"/>
      <c r="C194" s="29"/>
      <c r="F194" s="42"/>
      <c r="G194" s="43"/>
    </row>
    <row r="195" ht="15.75" customHeight="1">
      <c r="A195" s="8">
        <v>45796.0</v>
      </c>
      <c r="B195" s="29"/>
      <c r="C195" s="29"/>
      <c r="F195" s="42"/>
      <c r="G195" s="43"/>
    </row>
    <row r="196" ht="15.75" customHeight="1">
      <c r="A196" s="8">
        <v>45789.0</v>
      </c>
      <c r="B196" s="29"/>
      <c r="C196" s="29"/>
      <c r="F196" s="42"/>
      <c r="G196" s="43"/>
    </row>
    <row r="197" ht="15.75" customHeight="1">
      <c r="A197" s="8">
        <v>45782.0</v>
      </c>
      <c r="B197" s="29"/>
      <c r="C197" s="29"/>
      <c r="F197" s="42"/>
      <c r="G197" s="43"/>
    </row>
    <row r="198" ht="15.75" customHeight="1">
      <c r="A198" s="8">
        <v>45775.0</v>
      </c>
      <c r="B198" s="29"/>
      <c r="C198" s="29"/>
      <c r="F198" s="42"/>
      <c r="G198" s="43"/>
    </row>
    <row r="199" ht="15.75" customHeight="1">
      <c r="A199" s="8">
        <v>45772.0</v>
      </c>
      <c r="B199" s="29"/>
      <c r="C199" s="29"/>
      <c r="F199" s="42"/>
      <c r="G199" s="43"/>
    </row>
    <row r="200" ht="15.75" customHeight="1">
      <c r="A200" s="8">
        <v>45761.0</v>
      </c>
      <c r="B200" s="29"/>
      <c r="C200" s="29"/>
      <c r="F200" s="42"/>
      <c r="G200" s="43"/>
    </row>
    <row r="201" ht="15.75" customHeight="1">
      <c r="A201" s="8">
        <v>45754.0</v>
      </c>
      <c r="B201" s="29"/>
      <c r="C201" s="29"/>
      <c r="F201" s="42"/>
      <c r="G201" s="43"/>
    </row>
    <row r="202" ht="15.75" customHeight="1">
      <c r="A202" s="8">
        <v>45747.0</v>
      </c>
      <c r="B202" s="29"/>
      <c r="C202" s="29"/>
      <c r="F202" s="42"/>
      <c r="G202" s="43"/>
    </row>
    <row r="203" ht="15.75" customHeight="1">
      <c r="A203" s="8">
        <v>45740.0</v>
      </c>
      <c r="B203" s="29"/>
      <c r="C203" s="29"/>
      <c r="F203" s="42"/>
      <c r="G203" s="43"/>
    </row>
    <row r="204" ht="15.75" customHeight="1">
      <c r="A204" s="8">
        <v>45733.0</v>
      </c>
      <c r="B204" s="29"/>
      <c r="C204" s="29"/>
      <c r="F204" s="42"/>
      <c r="G204" s="43"/>
    </row>
    <row r="205" ht="15.75" customHeight="1">
      <c r="A205" s="8">
        <v>45726.0</v>
      </c>
      <c r="B205" s="29"/>
      <c r="C205" s="29"/>
      <c r="F205" s="42"/>
      <c r="G205" s="43"/>
    </row>
    <row r="206" ht="15.75" customHeight="1">
      <c r="A206" s="8">
        <v>46083.0</v>
      </c>
      <c r="B206" s="29"/>
      <c r="C206" s="29"/>
      <c r="F206" s="42"/>
      <c r="G206" s="43"/>
    </row>
    <row r="207" ht="15.75" customHeight="1">
      <c r="A207" s="8">
        <v>46076.0</v>
      </c>
      <c r="B207" s="29"/>
      <c r="C207" s="29"/>
      <c r="F207" s="42"/>
      <c r="G207" s="43"/>
    </row>
    <row r="208" ht="15.75" customHeight="1">
      <c r="A208" s="8">
        <v>46069.0</v>
      </c>
      <c r="B208" s="29"/>
      <c r="C208" s="29"/>
      <c r="F208" s="42"/>
      <c r="G208" s="43"/>
    </row>
    <row r="209" ht="15.75" customHeight="1">
      <c r="A209" s="8">
        <v>46062.0</v>
      </c>
      <c r="B209" s="29"/>
      <c r="C209" s="29"/>
      <c r="F209" s="42"/>
      <c r="G209" s="43"/>
    </row>
    <row r="210" ht="15.75" customHeight="1">
      <c r="A210" s="8">
        <v>46055.0</v>
      </c>
      <c r="B210" s="29"/>
      <c r="C210" s="29"/>
      <c r="F210" s="42"/>
      <c r="G210" s="43"/>
    </row>
    <row r="211" ht="15.75" customHeight="1">
      <c r="A211" s="8">
        <v>46048.0</v>
      </c>
      <c r="B211" s="29"/>
      <c r="C211" s="29"/>
      <c r="F211" s="42"/>
      <c r="G211" s="43"/>
    </row>
    <row r="212" ht="15.75" customHeight="1">
      <c r="A212" s="8">
        <v>46045.0</v>
      </c>
      <c r="B212" s="29"/>
      <c r="C212" s="29"/>
      <c r="F212" s="42"/>
      <c r="G212" s="43"/>
    </row>
    <row r="213" ht="15.75" customHeight="1">
      <c r="A213" s="8">
        <v>46034.0</v>
      </c>
      <c r="B213" s="29"/>
      <c r="C213" s="29"/>
      <c r="F213" s="42"/>
      <c r="G213" s="43"/>
    </row>
    <row r="214" ht="15.75" customHeight="1">
      <c r="A214" s="8">
        <v>46027.0</v>
      </c>
      <c r="B214" s="29"/>
      <c r="C214" s="29"/>
      <c r="F214" s="42"/>
      <c r="G214" s="43"/>
    </row>
    <row r="215" ht="15.75" customHeight="1">
      <c r="A215" s="8">
        <v>46020.0</v>
      </c>
      <c r="B215" s="29"/>
      <c r="C215" s="29"/>
      <c r="F215" s="42"/>
      <c r="G215" s="43"/>
    </row>
    <row r="216" ht="15.75" customHeight="1">
      <c r="A216" s="8">
        <v>46013.0</v>
      </c>
      <c r="B216" s="29"/>
      <c r="C216" s="29"/>
      <c r="F216" s="42"/>
      <c r="G216" s="43"/>
    </row>
    <row r="217" ht="15.75" customHeight="1">
      <c r="A217" s="8">
        <v>46006.0</v>
      </c>
      <c r="B217" s="29"/>
      <c r="C217" s="29"/>
      <c r="F217" s="42"/>
      <c r="G217" s="43"/>
    </row>
    <row r="218" ht="15.75" customHeight="1">
      <c r="A218" s="8">
        <v>45999.0</v>
      </c>
      <c r="B218" s="29"/>
      <c r="C218" s="29"/>
      <c r="F218" s="42"/>
      <c r="G218" s="43"/>
    </row>
    <row r="219" ht="15.75" customHeight="1">
      <c r="A219" s="8">
        <v>45992.0</v>
      </c>
      <c r="B219" s="29"/>
      <c r="C219" s="29"/>
      <c r="F219" s="42"/>
      <c r="G219" s="43"/>
    </row>
    <row r="220" ht="15.75" customHeight="1">
      <c r="A220" s="8">
        <v>45985.0</v>
      </c>
      <c r="B220" s="29"/>
      <c r="C220" s="29"/>
      <c r="F220" s="42"/>
      <c r="G220" s="43"/>
    </row>
    <row r="221" ht="15.75" customHeight="1">
      <c r="A221" s="8">
        <v>45978.0</v>
      </c>
      <c r="B221" s="29"/>
      <c r="C221" s="29"/>
      <c r="F221" s="42"/>
      <c r="G221" s="43"/>
    </row>
    <row r="222" ht="15.75" customHeight="1">
      <c r="A222" s="8">
        <v>45971.0</v>
      </c>
      <c r="B222" s="29"/>
      <c r="C222" s="29"/>
      <c r="F222" s="42"/>
      <c r="G222" s="43"/>
    </row>
    <row r="223" ht="15.75" customHeight="1">
      <c r="A223" s="8">
        <v>45957.0</v>
      </c>
      <c r="B223" s="29"/>
      <c r="C223" s="29"/>
      <c r="F223" s="42"/>
      <c r="G223" s="43"/>
    </row>
    <row r="224" ht="15.75" customHeight="1">
      <c r="A224" s="8">
        <v>45954.0</v>
      </c>
      <c r="B224" s="29"/>
      <c r="C224" s="29"/>
      <c r="F224" s="42"/>
      <c r="G224" s="43"/>
    </row>
    <row r="225" ht="15.75" customHeight="1">
      <c r="A225" s="8">
        <v>45943.0</v>
      </c>
      <c r="B225" s="29"/>
      <c r="C225" s="29"/>
      <c r="F225" s="42"/>
      <c r="G225" s="43"/>
    </row>
    <row r="226" ht="15.75" customHeight="1">
      <c r="A226" s="8">
        <v>45936.0</v>
      </c>
      <c r="B226" s="29"/>
      <c r="C226" s="29"/>
      <c r="F226" s="42"/>
      <c r="G226" s="43"/>
    </row>
    <row r="227" ht="15.75" customHeight="1">
      <c r="A227" s="8">
        <v>45929.0</v>
      </c>
      <c r="B227" s="29"/>
      <c r="C227" s="29"/>
      <c r="F227" s="42"/>
      <c r="G227" s="43"/>
    </row>
    <row r="228" ht="15.75" customHeight="1">
      <c r="A228" s="8">
        <v>45922.0</v>
      </c>
      <c r="B228" s="29"/>
      <c r="C228" s="29"/>
      <c r="F228" s="42"/>
      <c r="G228" s="43"/>
    </row>
    <row r="229" ht="15.75" customHeight="1">
      <c r="A229" s="8">
        <v>45915.0</v>
      </c>
      <c r="B229" s="29"/>
      <c r="C229" s="29"/>
      <c r="F229" s="42"/>
      <c r="G229" s="43"/>
    </row>
    <row r="230" ht="15.75" customHeight="1">
      <c r="A230" s="8">
        <v>45908.0</v>
      </c>
      <c r="B230" s="29"/>
      <c r="C230" s="29"/>
      <c r="F230" s="42"/>
      <c r="G230" s="43"/>
    </row>
    <row r="231" ht="15.75" customHeight="1">
      <c r="A231" s="8">
        <v>45901.0</v>
      </c>
      <c r="B231" s="29"/>
      <c r="C231" s="29"/>
      <c r="F231" s="42"/>
      <c r="G231" s="43"/>
    </row>
    <row r="232" ht="15.75" customHeight="1">
      <c r="A232" s="8">
        <v>45894.0</v>
      </c>
      <c r="B232" s="29"/>
      <c r="C232" s="29"/>
      <c r="F232" s="42"/>
      <c r="G232" s="43"/>
    </row>
    <row r="233" ht="15.75" customHeight="1">
      <c r="A233" s="8">
        <v>45887.0</v>
      </c>
      <c r="B233" s="29"/>
      <c r="C233" s="29"/>
      <c r="F233" s="42"/>
      <c r="G233" s="43"/>
    </row>
    <row r="234" ht="15.75" customHeight="1">
      <c r="A234" s="8">
        <v>45880.0</v>
      </c>
      <c r="B234" s="29"/>
      <c r="C234" s="29"/>
      <c r="F234" s="42"/>
      <c r="G234" s="43"/>
    </row>
    <row r="235" ht="15.75" customHeight="1">
      <c r="A235" s="8">
        <v>45873.0</v>
      </c>
      <c r="B235" s="29"/>
      <c r="C235" s="29"/>
      <c r="F235" s="42"/>
      <c r="G235" s="43"/>
    </row>
    <row r="236" ht="15.75" customHeight="1">
      <c r="A236" s="8">
        <v>45866.0</v>
      </c>
      <c r="B236" s="29"/>
      <c r="C236" s="29"/>
      <c r="F236" s="42"/>
      <c r="G236" s="43"/>
    </row>
    <row r="237" ht="15.75" customHeight="1">
      <c r="A237" s="8">
        <v>45863.0</v>
      </c>
      <c r="B237" s="29"/>
      <c r="C237" s="29"/>
      <c r="F237" s="42"/>
      <c r="G237" s="43"/>
    </row>
    <row r="238" ht="15.75" customHeight="1">
      <c r="A238" s="8">
        <v>45852.0</v>
      </c>
      <c r="B238" s="29"/>
      <c r="C238" s="29"/>
      <c r="F238" s="42"/>
      <c r="G238" s="43"/>
    </row>
    <row r="239" ht="15.75" customHeight="1">
      <c r="A239" s="8">
        <v>45845.0</v>
      </c>
      <c r="B239" s="29"/>
      <c r="C239" s="29"/>
      <c r="F239" s="42"/>
      <c r="G239" s="43"/>
    </row>
    <row r="240" ht="15.75" customHeight="1">
      <c r="A240" s="8">
        <v>45838.0</v>
      </c>
      <c r="B240" s="29"/>
      <c r="C240" s="29"/>
      <c r="F240" s="42"/>
      <c r="G240" s="43"/>
    </row>
    <row r="241" ht="15.75" customHeight="1">
      <c r="A241" s="8">
        <v>45831.0</v>
      </c>
      <c r="B241" s="29"/>
      <c r="C241" s="29"/>
      <c r="F241" s="42"/>
      <c r="G241" s="43"/>
    </row>
    <row r="242" ht="15.75" customHeight="1">
      <c r="A242" s="8">
        <v>45824.0</v>
      </c>
      <c r="B242" s="29"/>
      <c r="C242" s="29"/>
      <c r="F242" s="42"/>
      <c r="G242" s="43"/>
    </row>
    <row r="243" ht="15.75" customHeight="1">
      <c r="A243" s="8">
        <v>45817.0</v>
      </c>
      <c r="B243" s="29"/>
      <c r="C243" s="29"/>
      <c r="F243" s="42"/>
      <c r="G243" s="43"/>
    </row>
    <row r="244" ht="15.75" customHeight="1">
      <c r="A244" s="8">
        <v>45810.0</v>
      </c>
      <c r="B244" s="29"/>
      <c r="C244" s="29"/>
      <c r="F244" s="42"/>
      <c r="G244" s="43"/>
    </row>
    <row r="245" ht="15.75" customHeight="1">
      <c r="A245" s="8">
        <v>45804.0</v>
      </c>
      <c r="B245" s="29"/>
      <c r="C245" s="29"/>
      <c r="F245" s="42"/>
      <c r="G245" s="43"/>
    </row>
    <row r="246" ht="15.75" customHeight="1">
      <c r="A246" s="8">
        <v>45796.0</v>
      </c>
      <c r="B246" s="29"/>
      <c r="C246" s="29"/>
      <c r="F246" s="42"/>
      <c r="G246" s="43"/>
    </row>
    <row r="247" ht="15.75" customHeight="1">
      <c r="A247" s="8">
        <v>45789.0</v>
      </c>
      <c r="B247" s="29"/>
      <c r="C247" s="29"/>
      <c r="F247" s="42"/>
      <c r="G247" s="43"/>
    </row>
    <row r="248" ht="15.75" customHeight="1">
      <c r="A248" s="8">
        <v>45782.0</v>
      </c>
      <c r="B248" s="29"/>
      <c r="C248" s="29"/>
      <c r="F248" s="42"/>
      <c r="G248" s="43"/>
    </row>
    <row r="249" ht="15.75" customHeight="1">
      <c r="A249" s="8">
        <v>45775.0</v>
      </c>
      <c r="B249" s="29"/>
      <c r="C249" s="29"/>
      <c r="F249" s="42"/>
      <c r="G249" s="43"/>
    </row>
    <row r="250" ht="15.75" customHeight="1">
      <c r="A250" s="8">
        <v>45772.0</v>
      </c>
      <c r="B250" s="29"/>
      <c r="C250" s="29"/>
      <c r="F250" s="42"/>
      <c r="G250" s="43"/>
    </row>
    <row r="251" ht="15.75" customHeight="1">
      <c r="A251" s="8">
        <v>45761.0</v>
      </c>
      <c r="B251" s="29"/>
      <c r="C251" s="29"/>
      <c r="F251" s="42"/>
      <c r="G251" s="43"/>
    </row>
    <row r="252" ht="15.75" customHeight="1">
      <c r="A252" s="8">
        <v>45754.0</v>
      </c>
      <c r="B252" s="29"/>
      <c r="C252" s="29"/>
      <c r="F252" s="42"/>
      <c r="G252" s="43"/>
    </row>
    <row r="253" ht="15.75" customHeight="1">
      <c r="A253" s="8">
        <v>45747.0</v>
      </c>
      <c r="B253" s="29"/>
      <c r="C253" s="29"/>
      <c r="F253" s="42"/>
      <c r="G253" s="43"/>
    </row>
    <row r="254" ht="15.75" customHeight="1">
      <c r="A254" s="8">
        <v>45740.0</v>
      </c>
      <c r="B254" s="29"/>
      <c r="C254" s="29"/>
      <c r="F254" s="42"/>
      <c r="G254" s="43"/>
    </row>
    <row r="255" ht="15.75" customHeight="1">
      <c r="A255" s="8">
        <v>45733.0</v>
      </c>
      <c r="B255" s="29"/>
      <c r="C255" s="29"/>
      <c r="F255" s="42"/>
      <c r="G255" s="43"/>
    </row>
    <row r="256" ht="15.75" customHeight="1">
      <c r="A256" s="8">
        <v>45726.0</v>
      </c>
      <c r="B256" s="29"/>
      <c r="C256" s="29"/>
      <c r="F256" s="42"/>
      <c r="G256" s="43"/>
    </row>
    <row r="257" ht="15.75" customHeight="1">
      <c r="A257" s="35"/>
      <c r="B257" s="29"/>
      <c r="C257" s="29"/>
      <c r="F257" s="42"/>
      <c r="G257" s="43"/>
    </row>
    <row r="258" ht="15.75" customHeight="1">
      <c r="A258" s="35"/>
      <c r="B258" s="29"/>
      <c r="C258" s="29"/>
      <c r="F258" s="42"/>
      <c r="G258" s="43"/>
    </row>
    <row r="259" ht="15.75" customHeight="1">
      <c r="A259" s="35"/>
      <c r="B259" s="29"/>
      <c r="C259" s="29"/>
      <c r="F259" s="42"/>
      <c r="G259" s="43"/>
    </row>
    <row r="260" ht="15.75" customHeight="1">
      <c r="A260" s="35"/>
      <c r="B260" s="29"/>
      <c r="C260" s="29"/>
      <c r="F260" s="42"/>
      <c r="G260" s="43"/>
    </row>
    <row r="261" ht="15.75" customHeight="1">
      <c r="A261" s="35"/>
      <c r="B261" s="29"/>
      <c r="C261" s="29"/>
      <c r="F261" s="42"/>
      <c r="G261" s="43"/>
    </row>
    <row r="262" ht="15.75" customHeight="1">
      <c r="A262" s="35"/>
      <c r="B262" s="29"/>
      <c r="C262" s="29"/>
      <c r="F262" s="42"/>
      <c r="G262" s="43"/>
    </row>
    <row r="263" ht="15.75" customHeight="1">
      <c r="A263" s="35"/>
      <c r="B263" s="29"/>
      <c r="C263" s="29"/>
      <c r="F263" s="42"/>
      <c r="G263" s="43"/>
    </row>
    <row r="264" ht="15.75" customHeight="1">
      <c r="A264" s="35"/>
      <c r="B264" s="29"/>
      <c r="C264" s="29"/>
      <c r="F264" s="42"/>
      <c r="G264" s="43"/>
    </row>
    <row r="265" ht="15.75" customHeight="1">
      <c r="A265" s="35"/>
      <c r="B265" s="29"/>
      <c r="C265" s="29"/>
      <c r="F265" s="42"/>
      <c r="G265" s="43"/>
    </row>
    <row r="266" ht="15.75" customHeight="1">
      <c r="A266" s="35"/>
      <c r="B266" s="29"/>
      <c r="C266" s="29"/>
      <c r="F266" s="42"/>
      <c r="G266" s="43"/>
    </row>
    <row r="267" ht="15.75" customHeight="1">
      <c r="A267" s="35"/>
      <c r="B267" s="29"/>
      <c r="C267" s="29"/>
      <c r="F267" s="42"/>
      <c r="G267" s="43"/>
    </row>
    <row r="268" ht="15.75" customHeight="1">
      <c r="A268" s="35"/>
      <c r="B268" s="29"/>
      <c r="C268" s="29"/>
      <c r="F268" s="42"/>
      <c r="G268" s="43"/>
    </row>
    <row r="269" ht="15.75" customHeight="1">
      <c r="A269" s="35"/>
      <c r="B269" s="29"/>
      <c r="C269" s="29"/>
      <c r="F269" s="42"/>
      <c r="G269" s="43"/>
    </row>
    <row r="270" ht="15.75" customHeight="1">
      <c r="A270" s="35"/>
      <c r="B270" s="29"/>
      <c r="C270" s="29"/>
      <c r="F270" s="42"/>
      <c r="G270" s="43"/>
    </row>
    <row r="271" ht="15.75" customHeight="1">
      <c r="A271" s="35"/>
      <c r="B271" s="29"/>
      <c r="C271" s="29"/>
      <c r="F271" s="42"/>
      <c r="G271" s="43"/>
    </row>
    <row r="272" ht="15.75" customHeight="1">
      <c r="A272" s="35"/>
      <c r="B272" s="29"/>
      <c r="C272" s="29"/>
      <c r="F272" s="42"/>
      <c r="G272" s="43"/>
    </row>
    <row r="273" ht="15.75" customHeight="1">
      <c r="A273" s="35"/>
      <c r="B273" s="29"/>
      <c r="C273" s="29"/>
      <c r="F273" s="42"/>
      <c r="G273" s="43"/>
    </row>
    <row r="274" ht="15.75" customHeight="1">
      <c r="A274" s="35"/>
      <c r="B274" s="29"/>
      <c r="C274" s="29"/>
      <c r="F274" s="42"/>
      <c r="G274" s="43"/>
    </row>
    <row r="275" ht="15.75" customHeight="1">
      <c r="A275" s="35"/>
      <c r="B275" s="29"/>
      <c r="C275" s="29"/>
      <c r="F275" s="42"/>
      <c r="G275" s="43"/>
    </row>
    <row r="276" ht="15.75" customHeight="1">
      <c r="A276" s="35"/>
      <c r="B276" s="29"/>
      <c r="C276" s="29"/>
      <c r="F276" s="42"/>
      <c r="G276" s="43"/>
    </row>
    <row r="277" ht="15.75" customHeight="1">
      <c r="A277" s="35"/>
      <c r="B277" s="29"/>
      <c r="C277" s="29"/>
      <c r="F277" s="42"/>
      <c r="G277" s="43"/>
    </row>
    <row r="278" ht="15.75" customHeight="1">
      <c r="A278" s="35"/>
      <c r="B278" s="29"/>
      <c r="C278" s="29"/>
      <c r="F278" s="42"/>
      <c r="G278" s="43"/>
    </row>
    <row r="279" ht="15.75" customHeight="1">
      <c r="A279" s="35"/>
      <c r="B279" s="29"/>
      <c r="C279" s="29"/>
      <c r="F279" s="42"/>
      <c r="G279" s="43"/>
    </row>
    <row r="280" ht="15.75" customHeight="1">
      <c r="A280" s="35"/>
      <c r="B280" s="29"/>
      <c r="C280" s="29"/>
      <c r="F280" s="42"/>
      <c r="G280" s="43"/>
    </row>
    <row r="281" ht="15.75" customHeight="1">
      <c r="A281" s="35"/>
      <c r="B281" s="29"/>
      <c r="C281" s="29"/>
      <c r="F281" s="42"/>
      <c r="G281" s="43"/>
    </row>
    <row r="282" ht="15.75" customHeight="1">
      <c r="A282" s="35"/>
      <c r="B282" s="29"/>
      <c r="C282" s="29"/>
      <c r="F282" s="42"/>
      <c r="G282" s="43"/>
    </row>
    <row r="283" ht="15.75" customHeight="1">
      <c r="A283" s="35"/>
      <c r="B283" s="29"/>
      <c r="C283" s="29"/>
      <c r="F283" s="42"/>
      <c r="G283" s="43"/>
    </row>
    <row r="284" ht="15.75" customHeight="1">
      <c r="A284" s="35"/>
      <c r="B284" s="29"/>
      <c r="C284" s="29"/>
      <c r="F284" s="42"/>
      <c r="G284" s="43"/>
    </row>
    <row r="285" ht="15.75" customHeight="1">
      <c r="A285" s="35"/>
      <c r="B285" s="29"/>
      <c r="C285" s="29"/>
      <c r="F285" s="42"/>
      <c r="G285" s="43"/>
    </row>
    <row r="286" ht="15.75" customHeight="1">
      <c r="A286" s="35"/>
      <c r="B286" s="29"/>
      <c r="C286" s="29"/>
      <c r="F286" s="42"/>
      <c r="G286" s="43"/>
    </row>
    <row r="287" ht="15.75" customHeight="1">
      <c r="A287" s="35"/>
      <c r="B287" s="29"/>
      <c r="C287" s="29"/>
      <c r="F287" s="42"/>
      <c r="G287" s="43"/>
    </row>
    <row r="288" ht="15.75" customHeight="1">
      <c r="A288" s="35"/>
      <c r="B288" s="29"/>
      <c r="C288" s="29"/>
      <c r="F288" s="42"/>
      <c r="G288" s="43"/>
    </row>
    <row r="289" ht="15.75" customHeight="1">
      <c r="A289" s="35"/>
      <c r="B289" s="29"/>
      <c r="C289" s="29"/>
      <c r="F289" s="42"/>
      <c r="G289" s="43"/>
    </row>
    <row r="290" ht="15.75" customHeight="1">
      <c r="A290" s="35"/>
      <c r="B290" s="29"/>
      <c r="C290" s="29"/>
      <c r="F290" s="42"/>
      <c r="G290" s="43"/>
    </row>
    <row r="291" ht="15.75" customHeight="1">
      <c r="A291" s="35"/>
      <c r="B291" s="29"/>
      <c r="C291" s="29"/>
      <c r="F291" s="42"/>
      <c r="G291" s="43"/>
    </row>
    <row r="292" ht="15.75" customHeight="1">
      <c r="A292" s="35"/>
      <c r="B292" s="29"/>
      <c r="C292" s="29"/>
      <c r="F292" s="42"/>
      <c r="G292" s="43"/>
    </row>
    <row r="293" ht="15.75" customHeight="1">
      <c r="A293" s="35"/>
      <c r="B293" s="29"/>
      <c r="C293" s="29"/>
      <c r="F293" s="42"/>
      <c r="G293" s="43"/>
    </row>
    <row r="294" ht="15.75" customHeight="1">
      <c r="A294" s="35"/>
      <c r="B294" s="29"/>
      <c r="C294" s="29"/>
      <c r="F294" s="42"/>
      <c r="G294" s="43"/>
    </row>
    <row r="295" ht="15.75" customHeight="1">
      <c r="A295" s="35"/>
      <c r="B295" s="29"/>
      <c r="C295" s="29"/>
      <c r="F295" s="42"/>
      <c r="G295" s="43"/>
    </row>
    <row r="296" ht="15.75" customHeight="1">
      <c r="A296" s="35"/>
      <c r="B296" s="29"/>
      <c r="C296" s="29"/>
      <c r="F296" s="42"/>
      <c r="G296" s="43"/>
    </row>
    <row r="297" ht="15.75" customHeight="1">
      <c r="A297" s="35"/>
      <c r="B297" s="29"/>
      <c r="C297" s="29"/>
      <c r="F297" s="42"/>
      <c r="G297" s="43"/>
    </row>
    <row r="298" ht="15.75" customHeight="1">
      <c r="A298" s="35"/>
      <c r="B298" s="29"/>
      <c r="C298" s="29"/>
      <c r="F298" s="42"/>
      <c r="G298" s="43"/>
    </row>
    <row r="299" ht="15.75" customHeight="1">
      <c r="A299" s="35"/>
      <c r="B299" s="29"/>
      <c r="C299" s="29"/>
      <c r="F299" s="42"/>
      <c r="G299" s="43"/>
    </row>
    <row r="300" ht="15.75" customHeight="1">
      <c r="A300" s="35"/>
      <c r="B300" s="29"/>
      <c r="C300" s="29"/>
      <c r="F300" s="42"/>
      <c r="G300" s="43"/>
    </row>
    <row r="301" ht="15.75" customHeight="1">
      <c r="A301" s="35"/>
      <c r="B301" s="29"/>
      <c r="C301" s="29"/>
      <c r="F301" s="42"/>
      <c r="G301" s="43"/>
    </row>
    <row r="302" ht="15.75" customHeight="1">
      <c r="A302" s="35"/>
      <c r="B302" s="29"/>
      <c r="C302" s="29"/>
      <c r="F302" s="42"/>
      <c r="G302" s="43"/>
    </row>
    <row r="303" ht="15.75" customHeight="1">
      <c r="A303" s="35"/>
      <c r="B303" s="29"/>
      <c r="C303" s="29"/>
      <c r="F303" s="42"/>
      <c r="G303" s="43"/>
    </row>
    <row r="304" ht="15.75" customHeight="1">
      <c r="A304" s="35"/>
      <c r="B304" s="29"/>
      <c r="C304" s="29"/>
      <c r="F304" s="42"/>
      <c r="G304" s="43"/>
    </row>
    <row r="305" ht="15.75" customHeight="1">
      <c r="A305" s="35"/>
      <c r="B305" s="29"/>
      <c r="C305" s="29"/>
      <c r="F305" s="42"/>
      <c r="G305" s="43"/>
    </row>
    <row r="306" ht="15.75" customHeight="1">
      <c r="A306" s="35"/>
      <c r="B306" s="29"/>
      <c r="C306" s="29"/>
      <c r="F306" s="42"/>
      <c r="G306" s="43"/>
    </row>
    <row r="307" ht="15.75" customHeight="1">
      <c r="A307" s="35"/>
      <c r="B307" s="29"/>
      <c r="C307" s="29"/>
      <c r="F307" s="42"/>
      <c r="G307" s="43"/>
    </row>
    <row r="308" ht="15.75" customHeight="1">
      <c r="A308" s="35"/>
      <c r="B308" s="29"/>
      <c r="C308" s="29"/>
      <c r="F308" s="42"/>
      <c r="G308" s="43"/>
    </row>
    <row r="309" ht="15.75" customHeight="1">
      <c r="A309" s="35"/>
      <c r="B309" s="29"/>
      <c r="C309" s="29"/>
      <c r="F309" s="42"/>
      <c r="G309" s="43"/>
    </row>
    <row r="310" ht="15.75" customHeight="1">
      <c r="A310" s="35"/>
      <c r="B310" s="29"/>
      <c r="C310" s="29"/>
      <c r="F310" s="42"/>
      <c r="G310" s="43"/>
    </row>
    <row r="311" ht="15.75" customHeight="1">
      <c r="A311" s="35"/>
      <c r="B311" s="29"/>
      <c r="C311" s="29"/>
      <c r="F311" s="42"/>
      <c r="G311" s="43"/>
    </row>
    <row r="312" ht="15.75" customHeight="1">
      <c r="A312" s="35"/>
      <c r="B312" s="29"/>
      <c r="C312" s="29"/>
      <c r="F312" s="42"/>
      <c r="G312" s="43"/>
    </row>
    <row r="313" ht="15.75" customHeight="1">
      <c r="A313" s="35"/>
      <c r="B313" s="29"/>
      <c r="C313" s="29"/>
      <c r="F313" s="42"/>
      <c r="G313" s="43"/>
    </row>
    <row r="314" ht="15.75" customHeight="1">
      <c r="A314" s="35"/>
      <c r="B314" s="29"/>
      <c r="C314" s="29"/>
      <c r="F314" s="42"/>
      <c r="G314" s="43"/>
    </row>
    <row r="315" ht="15.75" customHeight="1">
      <c r="A315" s="35"/>
      <c r="B315" s="29"/>
      <c r="C315" s="29"/>
      <c r="F315" s="42"/>
      <c r="G315" s="43"/>
    </row>
    <row r="316" ht="15.75" customHeight="1">
      <c r="A316" s="35"/>
      <c r="B316" s="29"/>
      <c r="C316" s="29"/>
      <c r="F316" s="42"/>
      <c r="G316" s="43"/>
    </row>
    <row r="317" ht="15.75" customHeight="1">
      <c r="A317" s="35"/>
      <c r="B317" s="29"/>
      <c r="C317" s="29"/>
      <c r="F317" s="42"/>
      <c r="G317" s="43"/>
    </row>
    <row r="318" ht="15.75" customHeight="1">
      <c r="A318" s="35"/>
      <c r="B318" s="29"/>
      <c r="C318" s="29"/>
      <c r="F318" s="42"/>
      <c r="G318" s="43"/>
    </row>
    <row r="319" ht="15.75" customHeight="1">
      <c r="A319" s="35"/>
      <c r="B319" s="29"/>
      <c r="C319" s="29"/>
      <c r="F319" s="42"/>
      <c r="G319" s="43"/>
    </row>
    <row r="320" ht="15.75" customHeight="1">
      <c r="A320" s="35"/>
      <c r="B320" s="29"/>
      <c r="C320" s="29"/>
      <c r="F320" s="42"/>
      <c r="G320" s="43"/>
    </row>
    <row r="321" ht="15.75" customHeight="1">
      <c r="A321" s="35"/>
      <c r="B321" s="29"/>
      <c r="C321" s="29"/>
      <c r="F321" s="42"/>
      <c r="G321" s="43"/>
    </row>
    <row r="322" ht="15.75" customHeight="1">
      <c r="A322" s="35"/>
      <c r="B322" s="29"/>
      <c r="C322" s="29"/>
      <c r="F322" s="42"/>
      <c r="G322" s="43"/>
    </row>
    <row r="323" ht="15.75" customHeight="1">
      <c r="A323" s="35"/>
      <c r="B323" s="29"/>
      <c r="C323" s="29"/>
      <c r="F323" s="42"/>
      <c r="G323" s="43"/>
    </row>
    <row r="324" ht="15.75" customHeight="1">
      <c r="A324" s="35"/>
      <c r="B324" s="29"/>
      <c r="C324" s="29"/>
      <c r="F324" s="42"/>
      <c r="G324" s="43"/>
    </row>
    <row r="325" ht="15.75" customHeight="1">
      <c r="A325" s="35"/>
      <c r="B325" s="29"/>
      <c r="C325" s="29"/>
      <c r="F325" s="42"/>
      <c r="G325" s="43"/>
    </row>
    <row r="326" ht="15.75" customHeight="1">
      <c r="A326" s="35"/>
      <c r="B326" s="29"/>
      <c r="C326" s="29"/>
      <c r="F326" s="42"/>
      <c r="G326" s="43"/>
    </row>
    <row r="327" ht="15.75" customHeight="1">
      <c r="A327" s="35"/>
      <c r="B327" s="29"/>
      <c r="C327" s="29"/>
      <c r="F327" s="42"/>
      <c r="G327" s="43"/>
    </row>
    <row r="328" ht="15.75" customHeight="1">
      <c r="A328" s="35"/>
      <c r="B328" s="29"/>
      <c r="C328" s="29"/>
      <c r="F328" s="42"/>
      <c r="G328" s="43"/>
    </row>
    <row r="329" ht="15.75" customHeight="1">
      <c r="A329" s="35"/>
      <c r="B329" s="29"/>
      <c r="C329" s="29"/>
      <c r="F329" s="42"/>
      <c r="G329" s="43"/>
    </row>
    <row r="330" ht="15.75" customHeight="1">
      <c r="A330" s="35"/>
      <c r="B330" s="29"/>
      <c r="C330" s="29"/>
      <c r="F330" s="42"/>
      <c r="G330" s="43"/>
    </row>
    <row r="331" ht="15.75" customHeight="1">
      <c r="A331" s="35"/>
      <c r="B331" s="29"/>
      <c r="C331" s="29"/>
      <c r="F331" s="42"/>
      <c r="G331" s="43"/>
    </row>
    <row r="332" ht="15.75" customHeight="1">
      <c r="A332" s="35"/>
      <c r="B332" s="29"/>
      <c r="C332" s="29"/>
      <c r="F332" s="42"/>
      <c r="G332" s="43"/>
    </row>
    <row r="333" ht="15.75" customHeight="1">
      <c r="A333" s="35"/>
      <c r="B333" s="29"/>
      <c r="C333" s="29"/>
      <c r="F333" s="42"/>
      <c r="G333" s="43"/>
    </row>
    <row r="334" ht="15.75" customHeight="1">
      <c r="A334" s="35"/>
      <c r="B334" s="29"/>
      <c r="C334" s="29"/>
      <c r="F334" s="42"/>
      <c r="G334" s="43"/>
    </row>
    <row r="335" ht="15.75" customHeight="1">
      <c r="A335" s="35"/>
      <c r="B335" s="29"/>
      <c r="C335" s="29"/>
      <c r="F335" s="42"/>
      <c r="G335" s="43"/>
    </row>
    <row r="336" ht="15.75" customHeight="1">
      <c r="A336" s="35"/>
      <c r="B336" s="29"/>
      <c r="C336" s="29"/>
      <c r="F336" s="42"/>
      <c r="G336" s="43"/>
    </row>
    <row r="337" ht="15.75" customHeight="1">
      <c r="A337" s="35"/>
      <c r="B337" s="29"/>
      <c r="C337" s="29"/>
      <c r="F337" s="42"/>
      <c r="G337" s="43"/>
    </row>
    <row r="338" ht="15.75" customHeight="1">
      <c r="A338" s="35"/>
      <c r="B338" s="29"/>
      <c r="C338" s="29"/>
      <c r="F338" s="42"/>
      <c r="G338" s="43"/>
    </row>
    <row r="339" ht="15.75" customHeight="1">
      <c r="A339" s="35"/>
      <c r="B339" s="29"/>
      <c r="C339" s="29"/>
      <c r="F339" s="42"/>
      <c r="G339" s="43"/>
    </row>
    <row r="340" ht="15.75" customHeight="1">
      <c r="A340" s="35"/>
      <c r="B340" s="29"/>
      <c r="C340" s="29"/>
      <c r="F340" s="42"/>
      <c r="G340" s="43"/>
    </row>
    <row r="341" ht="15.75" customHeight="1">
      <c r="A341" s="35"/>
      <c r="B341" s="29"/>
      <c r="C341" s="29"/>
      <c r="F341" s="42"/>
      <c r="G341" s="43"/>
    </row>
    <row r="342" ht="15.75" customHeight="1">
      <c r="A342" s="35"/>
      <c r="B342" s="29"/>
      <c r="C342" s="29"/>
      <c r="F342" s="42"/>
      <c r="G342" s="43"/>
    </row>
    <row r="343" ht="15.75" customHeight="1">
      <c r="A343" s="35"/>
      <c r="B343" s="29"/>
      <c r="C343" s="29"/>
      <c r="F343" s="42"/>
      <c r="G343" s="43"/>
    </row>
    <row r="344" ht="15.75" customHeight="1">
      <c r="A344" s="35"/>
      <c r="B344" s="29"/>
      <c r="C344" s="29"/>
      <c r="F344" s="42"/>
      <c r="G344" s="43"/>
    </row>
    <row r="345" ht="15.75" customHeight="1">
      <c r="A345" s="35"/>
      <c r="B345" s="29"/>
      <c r="C345" s="29"/>
      <c r="F345" s="42"/>
      <c r="G345" s="43"/>
    </row>
    <row r="346" ht="15.75" customHeight="1">
      <c r="A346" s="35"/>
      <c r="B346" s="29"/>
      <c r="C346" s="29"/>
      <c r="F346" s="42"/>
      <c r="G346" s="43"/>
    </row>
    <row r="347" ht="15.75" customHeight="1">
      <c r="A347" s="35"/>
      <c r="B347" s="29"/>
      <c r="C347" s="29"/>
      <c r="F347" s="42"/>
      <c r="G347" s="43"/>
    </row>
    <row r="348" ht="15.75" customHeight="1">
      <c r="A348" s="35"/>
      <c r="B348" s="29"/>
      <c r="C348" s="29"/>
      <c r="F348" s="42"/>
      <c r="G348" s="43"/>
    </row>
    <row r="349" ht="15.75" customHeight="1">
      <c r="A349" s="35"/>
      <c r="B349" s="29"/>
      <c r="C349" s="29"/>
      <c r="F349" s="42"/>
      <c r="G349" s="43"/>
    </row>
    <row r="350" ht="15.75" customHeight="1">
      <c r="A350" s="35"/>
      <c r="B350" s="29"/>
      <c r="C350" s="29"/>
      <c r="F350" s="42"/>
      <c r="G350" s="43"/>
    </row>
    <row r="351" ht="15.75" customHeight="1">
      <c r="A351" s="35"/>
      <c r="B351" s="29"/>
      <c r="C351" s="29"/>
      <c r="F351" s="42"/>
      <c r="G351" s="43"/>
    </row>
    <row r="352" ht="15.75" customHeight="1">
      <c r="A352" s="35"/>
      <c r="B352" s="29"/>
      <c r="C352" s="29"/>
      <c r="F352" s="42"/>
      <c r="G352" s="43"/>
    </row>
    <row r="353" ht="15.75" customHeight="1">
      <c r="A353" s="35"/>
      <c r="B353" s="29"/>
      <c r="C353" s="29"/>
      <c r="F353" s="42"/>
      <c r="G353" s="43"/>
    </row>
    <row r="354" ht="15.75" customHeight="1">
      <c r="A354" s="35"/>
      <c r="B354" s="29"/>
      <c r="C354" s="29"/>
      <c r="F354" s="42"/>
      <c r="G354" s="43"/>
    </row>
    <row r="355" ht="15.75" customHeight="1">
      <c r="A355" s="35"/>
      <c r="B355" s="29"/>
      <c r="C355" s="29"/>
      <c r="F355" s="42"/>
      <c r="G355" s="43"/>
    </row>
    <row r="356" ht="15.75" customHeight="1">
      <c r="A356" s="35"/>
      <c r="B356" s="29"/>
      <c r="C356" s="29"/>
      <c r="F356" s="42"/>
      <c r="G356" s="43"/>
    </row>
    <row r="357" ht="15.75" customHeight="1">
      <c r="A357" s="35"/>
      <c r="B357" s="29"/>
      <c r="C357" s="29"/>
      <c r="F357" s="42"/>
      <c r="G357" s="43"/>
    </row>
    <row r="358" ht="15.75" customHeight="1">
      <c r="A358" s="35"/>
      <c r="B358" s="29"/>
      <c r="C358" s="29"/>
      <c r="F358" s="42"/>
      <c r="G358" s="43"/>
    </row>
    <row r="359" ht="15.75" customHeight="1">
      <c r="A359" s="35"/>
      <c r="B359" s="29"/>
      <c r="C359" s="29"/>
      <c r="F359" s="42"/>
      <c r="G359" s="43"/>
    </row>
    <row r="360" ht="15.75" customHeight="1">
      <c r="A360" s="35"/>
      <c r="B360" s="29"/>
      <c r="C360" s="29"/>
      <c r="F360" s="42"/>
      <c r="G360" s="43"/>
    </row>
    <row r="361" ht="15.75" customHeight="1">
      <c r="A361" s="35"/>
      <c r="B361" s="29"/>
      <c r="C361" s="29"/>
      <c r="F361" s="42"/>
      <c r="G361" s="43"/>
    </row>
    <row r="362" ht="15.75" customHeight="1">
      <c r="A362" s="35"/>
      <c r="B362" s="29"/>
      <c r="C362" s="29"/>
      <c r="F362" s="42"/>
      <c r="G362" s="43"/>
    </row>
    <row r="363" ht="15.75" customHeight="1">
      <c r="A363" s="35"/>
      <c r="B363" s="29"/>
      <c r="C363" s="29"/>
      <c r="F363" s="42"/>
      <c r="G363" s="43"/>
    </row>
    <row r="364" ht="15.75" customHeight="1">
      <c r="A364" s="35"/>
      <c r="B364" s="29"/>
      <c r="C364" s="29"/>
      <c r="F364" s="42"/>
      <c r="G364" s="43"/>
    </row>
    <row r="365" ht="15.75" customHeight="1">
      <c r="A365" s="35"/>
      <c r="B365" s="29"/>
      <c r="C365" s="29"/>
      <c r="F365" s="42"/>
      <c r="G365" s="43"/>
    </row>
    <row r="366" ht="15.75" customHeight="1">
      <c r="A366" s="35"/>
      <c r="B366" s="29"/>
      <c r="C366" s="29"/>
      <c r="F366" s="42"/>
      <c r="G366" s="43"/>
    </row>
    <row r="367" ht="15.75" customHeight="1">
      <c r="A367" s="35"/>
      <c r="B367" s="29"/>
      <c r="C367" s="29"/>
      <c r="F367" s="42"/>
      <c r="G367" s="43"/>
    </row>
    <row r="368" ht="15.75" customHeight="1">
      <c r="A368" s="35"/>
      <c r="B368" s="29"/>
      <c r="C368" s="29"/>
      <c r="F368" s="42"/>
      <c r="G368" s="43"/>
    </row>
    <row r="369" ht="15.75" customHeight="1">
      <c r="A369" s="35"/>
      <c r="B369" s="29"/>
      <c r="C369" s="29"/>
      <c r="F369" s="42"/>
      <c r="G369" s="43"/>
    </row>
    <row r="370" ht="15.75" customHeight="1">
      <c r="A370" s="35"/>
      <c r="B370" s="29"/>
      <c r="C370" s="29"/>
      <c r="F370" s="42"/>
      <c r="G370" s="43"/>
    </row>
    <row r="371" ht="15.75" customHeight="1">
      <c r="A371" s="35"/>
      <c r="B371" s="29"/>
      <c r="C371" s="29"/>
      <c r="F371" s="42"/>
      <c r="G371" s="43"/>
    </row>
    <row r="372" ht="15.75" customHeight="1">
      <c r="A372" s="35"/>
      <c r="B372" s="29"/>
      <c r="C372" s="29"/>
      <c r="F372" s="42"/>
      <c r="G372" s="43"/>
    </row>
    <row r="373" ht="15.75" customHeight="1">
      <c r="A373" s="35"/>
      <c r="B373" s="29"/>
      <c r="C373" s="29"/>
      <c r="F373" s="42"/>
      <c r="G373" s="43"/>
    </row>
    <row r="374" ht="15.75" customHeight="1">
      <c r="A374" s="35"/>
      <c r="B374" s="29"/>
      <c r="C374" s="29"/>
      <c r="F374" s="42"/>
      <c r="G374" s="43"/>
    </row>
    <row r="375" ht="15.75" customHeight="1">
      <c r="A375" s="35"/>
      <c r="B375" s="29"/>
      <c r="C375" s="29"/>
      <c r="F375" s="42"/>
      <c r="G375" s="43"/>
    </row>
    <row r="376" ht="15.75" customHeight="1">
      <c r="A376" s="35"/>
      <c r="B376" s="29"/>
      <c r="C376" s="29"/>
      <c r="F376" s="42"/>
      <c r="G376" s="43"/>
    </row>
    <row r="377" ht="15.75" customHeight="1">
      <c r="A377" s="35"/>
      <c r="B377" s="29"/>
      <c r="C377" s="29"/>
      <c r="F377" s="42"/>
      <c r="G377" s="43"/>
    </row>
    <row r="378" ht="15.75" customHeight="1">
      <c r="A378" s="35"/>
      <c r="B378" s="29"/>
      <c r="C378" s="29"/>
      <c r="F378" s="42"/>
      <c r="G378" s="43"/>
    </row>
    <row r="379" ht="15.75" customHeight="1">
      <c r="A379" s="35"/>
      <c r="B379" s="29"/>
      <c r="C379" s="29"/>
      <c r="F379" s="42"/>
      <c r="G379" s="43"/>
    </row>
    <row r="380" ht="15.75" customHeight="1">
      <c r="A380" s="35"/>
      <c r="B380" s="37"/>
      <c r="C380" s="37"/>
      <c r="F380" s="42"/>
      <c r="G380" s="43"/>
    </row>
  </sheetData>
  <autoFilter ref="$A$1:$C$380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3" width="16.86"/>
  </cols>
  <sheetData>
    <row r="1">
      <c r="A1" s="20" t="s">
        <v>0</v>
      </c>
      <c r="B1" s="56" t="s">
        <v>19</v>
      </c>
      <c r="C1" s="57" t="s">
        <v>20</v>
      </c>
    </row>
    <row r="2">
      <c r="A2" s="8">
        <v>46083.0</v>
      </c>
      <c r="B2" s="58">
        <f>returns!G2</f>
        <v>-0.01574689396</v>
      </c>
      <c r="C2" s="58">
        <f>returns!H2</f>
        <v>0</v>
      </c>
      <c r="E2" s="59" t="s">
        <v>36</v>
      </c>
      <c r="G2" s="60"/>
      <c r="H2" s="60"/>
      <c r="I2" s="60"/>
      <c r="J2" s="60"/>
      <c r="K2" s="60"/>
      <c r="L2" s="60"/>
      <c r="M2" s="60"/>
    </row>
    <row r="3">
      <c r="A3" s="8">
        <v>46076.0</v>
      </c>
      <c r="B3" s="58">
        <f>returns!G3</f>
        <v>-0.009736288468</v>
      </c>
      <c r="C3" s="58">
        <f>returns!H3</f>
        <v>-0.0210058574</v>
      </c>
      <c r="E3" s="60"/>
      <c r="F3" s="60"/>
      <c r="G3" s="60"/>
      <c r="H3" s="60"/>
      <c r="I3" s="60"/>
      <c r="J3" s="60"/>
      <c r="K3" s="60"/>
      <c r="L3" s="60"/>
      <c r="M3" s="60"/>
    </row>
    <row r="4">
      <c r="A4" s="8">
        <v>46069.0</v>
      </c>
      <c r="B4" s="58">
        <f>returns!G4</f>
        <v>-0.09970355731</v>
      </c>
      <c r="C4" s="58">
        <f>returns!H4</f>
        <v>0.02888611804</v>
      </c>
      <c r="E4" s="61" t="s">
        <v>37</v>
      </c>
      <c r="F4" s="62"/>
      <c r="G4" s="60"/>
      <c r="H4" s="60"/>
      <c r="I4" s="60"/>
      <c r="J4" s="60"/>
      <c r="K4" s="60"/>
      <c r="L4" s="60"/>
      <c r="M4" s="60"/>
    </row>
    <row r="5">
      <c r="A5" s="8">
        <v>46062.0</v>
      </c>
      <c r="B5" s="58">
        <f>returns!G5</f>
        <v>-0.1114586763</v>
      </c>
      <c r="C5" s="58">
        <f>returns!H5</f>
        <v>0.2233379942</v>
      </c>
      <c r="E5" s="59" t="s">
        <v>38</v>
      </c>
      <c r="F5" s="63">
        <v>2.3974576E7</v>
      </c>
      <c r="G5" s="60"/>
      <c r="H5" s="60"/>
      <c r="I5" s="60"/>
      <c r="J5" s="60"/>
      <c r="K5" s="60"/>
      <c r="L5" s="60"/>
      <c r="M5" s="60"/>
    </row>
    <row r="6">
      <c r="A6" s="8">
        <v>46055.0</v>
      </c>
      <c r="B6" s="58">
        <f>returns!G6</f>
        <v>-0.0257550491</v>
      </c>
      <c r="C6" s="58">
        <f>returns!H6</f>
        <v>0.02341615715</v>
      </c>
      <c r="E6" s="59" t="s">
        <v>39</v>
      </c>
      <c r="F6" s="63">
        <v>5747803.0</v>
      </c>
      <c r="G6" s="60"/>
      <c r="H6" s="60"/>
      <c r="I6" s="60"/>
      <c r="J6" s="60"/>
      <c r="K6" s="60"/>
      <c r="L6" s="60"/>
      <c r="M6" s="60"/>
    </row>
    <row r="7">
      <c r="A7" s="8">
        <v>46048.0</v>
      </c>
      <c r="B7" s="58">
        <f>returns!G7</f>
        <v>-0.03600862178</v>
      </c>
      <c r="C7" s="58">
        <f>returns!H7</f>
        <v>-0.06484184915</v>
      </c>
      <c r="E7" s="59" t="s">
        <v>40</v>
      </c>
      <c r="F7" s="63">
        <v>3824289.0</v>
      </c>
      <c r="G7" s="60"/>
      <c r="H7" s="60"/>
      <c r="I7" s="60"/>
      <c r="J7" s="60"/>
      <c r="K7" s="60"/>
      <c r="L7" s="60"/>
      <c r="M7" s="60"/>
    </row>
    <row r="8">
      <c r="A8" s="8">
        <v>46045.0</v>
      </c>
      <c r="B8" s="58">
        <f>returns!G8</f>
        <v>-0.01381033802</v>
      </c>
      <c r="C8" s="58">
        <f>returns!H8</f>
        <v>-0.01545095221</v>
      </c>
      <c r="E8" s="59" t="s">
        <v>41</v>
      </c>
      <c r="F8" s="63">
        <v>4968106.0</v>
      </c>
      <c r="G8" s="60"/>
      <c r="H8" s="60"/>
      <c r="I8" s="60"/>
      <c r="J8" s="60"/>
      <c r="K8" s="60"/>
      <c r="L8" s="60"/>
      <c r="M8" s="60"/>
    </row>
    <row r="9">
      <c r="A9" s="8">
        <v>46034.0</v>
      </c>
      <c r="B9" s="58">
        <f>returns!G9</f>
        <v>0.008468925047</v>
      </c>
      <c r="C9" s="58">
        <f>returns!H9</f>
        <v>-0.03053878309</v>
      </c>
      <c r="E9" s="64" t="s">
        <v>42</v>
      </c>
      <c r="F9" s="65">
        <v>51.0</v>
      </c>
      <c r="G9" s="60"/>
      <c r="H9" s="60"/>
      <c r="I9" s="60"/>
      <c r="J9" s="60"/>
      <c r="K9" s="60"/>
      <c r="L9" s="60"/>
      <c r="M9" s="60"/>
    </row>
    <row r="10">
      <c r="A10" s="8">
        <v>46027.0</v>
      </c>
      <c r="B10" s="58">
        <f>returns!G10</f>
        <v>-0.007472062421</v>
      </c>
      <c r="C10" s="58">
        <f>returns!H10</f>
        <v>-0.02136363636</v>
      </c>
      <c r="E10" s="60"/>
      <c r="F10" s="60"/>
      <c r="G10" s="60"/>
      <c r="H10" s="60"/>
      <c r="I10" s="60"/>
      <c r="J10" s="60"/>
      <c r="K10" s="60"/>
      <c r="L10" s="60"/>
      <c r="M10" s="60"/>
    </row>
    <row r="11">
      <c r="A11" s="8">
        <v>46020.0</v>
      </c>
      <c r="B11" s="58">
        <f>returns!G11</f>
        <v>-0.003397734843</v>
      </c>
      <c r="C11" s="58">
        <f>returns!H11</f>
        <v>-0.01632014308</v>
      </c>
      <c r="E11" s="59" t="s">
        <v>43</v>
      </c>
      <c r="G11" s="60"/>
      <c r="H11" s="60"/>
      <c r="I11" s="60"/>
      <c r="J11" s="60"/>
      <c r="K11" s="60"/>
      <c r="L11" s="60"/>
      <c r="M11" s="60"/>
    </row>
    <row r="12">
      <c r="A12" s="8">
        <v>46013.0</v>
      </c>
      <c r="B12" s="58">
        <f>returns!G12</f>
        <v>0.07199679123</v>
      </c>
      <c r="C12" s="58">
        <f>returns!H12</f>
        <v>-0.01681503462</v>
      </c>
      <c r="E12" s="66"/>
      <c r="F12" s="61" t="s">
        <v>44</v>
      </c>
      <c r="G12" s="61" t="s">
        <v>45</v>
      </c>
      <c r="H12" s="61" t="s">
        <v>46</v>
      </c>
      <c r="I12" s="61" t="s">
        <v>47</v>
      </c>
      <c r="J12" s="61" t="s">
        <v>48</v>
      </c>
      <c r="K12" s="60"/>
      <c r="L12" s="60"/>
      <c r="M12" s="60"/>
    </row>
    <row r="13">
      <c r="A13" s="8">
        <v>46006.0</v>
      </c>
      <c r="B13" s="58">
        <f>returns!G13</f>
        <v>0.03454726865</v>
      </c>
      <c r="C13" s="58">
        <f>returns!H13</f>
        <v>-0.03683709114</v>
      </c>
      <c r="E13" s="59" t="s">
        <v>49</v>
      </c>
      <c r="F13" s="67">
        <v>1.0</v>
      </c>
      <c r="G13" s="63">
        <v>737545.0</v>
      </c>
      <c r="H13" s="63">
        <v>737545.0</v>
      </c>
      <c r="I13" s="63">
        <v>2.98817804E8</v>
      </c>
      <c r="J13" s="63">
        <v>9017162.0</v>
      </c>
      <c r="K13" s="60"/>
      <c r="L13" s="60"/>
      <c r="M13" s="60"/>
    </row>
    <row r="14">
      <c r="A14" s="8">
        <v>45999.0</v>
      </c>
      <c r="B14" s="58">
        <f>returns!G14</f>
        <v>-0.002411091019</v>
      </c>
      <c r="C14" s="58">
        <f>returns!H14</f>
        <v>0.0008475474097</v>
      </c>
      <c r="E14" s="59" t="s">
        <v>50</v>
      </c>
      <c r="F14" s="67">
        <v>49.0</v>
      </c>
      <c r="G14" s="63">
        <v>1209422.0</v>
      </c>
      <c r="H14" s="63">
        <v>246821.0</v>
      </c>
      <c r="I14" s="60"/>
      <c r="J14" s="60"/>
      <c r="K14" s="60"/>
      <c r="L14" s="60"/>
      <c r="M14" s="60"/>
    </row>
    <row r="15">
      <c r="A15" s="8">
        <v>45992.0</v>
      </c>
      <c r="B15" s="58">
        <f>returns!G15</f>
        <v>0.01389728097</v>
      </c>
      <c r="C15" s="58">
        <f>returns!H15</f>
        <v>-0.008404244143</v>
      </c>
      <c r="E15" s="64" t="s">
        <v>51</v>
      </c>
      <c r="F15" s="65">
        <v>50.0</v>
      </c>
      <c r="G15" s="68">
        <v>1.2831765E7</v>
      </c>
      <c r="H15" s="69"/>
      <c r="I15" s="69"/>
      <c r="J15" s="69"/>
      <c r="K15" s="60"/>
      <c r="L15" s="60"/>
      <c r="M15" s="60"/>
    </row>
    <row r="16">
      <c r="A16" s="8">
        <v>45985.0</v>
      </c>
      <c r="B16" s="58">
        <f>returns!G16</f>
        <v>-0.0305125149</v>
      </c>
      <c r="C16" s="58">
        <f>returns!H16</f>
        <v>-0.05037909018</v>
      </c>
      <c r="E16" s="60"/>
      <c r="F16" s="60"/>
      <c r="G16" s="60"/>
      <c r="H16" s="60"/>
      <c r="I16" s="60"/>
      <c r="J16" s="60"/>
      <c r="K16" s="60"/>
      <c r="L16" s="60"/>
      <c r="M16" s="60"/>
    </row>
    <row r="17">
      <c r="A17" s="8">
        <v>45978.0</v>
      </c>
      <c r="B17" s="58">
        <f>returns!G17</f>
        <v>-0.008851733464</v>
      </c>
      <c r="C17" s="58">
        <f>returns!H17</f>
        <v>-0.06822829522</v>
      </c>
      <c r="E17" s="66"/>
      <c r="F17" s="61" t="s">
        <v>52</v>
      </c>
      <c r="G17" s="61" t="s">
        <v>41</v>
      </c>
      <c r="H17" s="61" t="s">
        <v>53</v>
      </c>
      <c r="I17" s="61" t="s">
        <v>54</v>
      </c>
      <c r="J17" s="61" t="s">
        <v>55</v>
      </c>
      <c r="K17" s="61" t="s">
        <v>56</v>
      </c>
      <c r="L17" s="61" t="s">
        <v>57</v>
      </c>
      <c r="M17" s="61" t="s">
        <v>58</v>
      </c>
    </row>
    <row r="18">
      <c r="A18" s="8">
        <v>45971.0</v>
      </c>
      <c r="B18" s="58">
        <f>returns!G18</f>
        <v>-0.1469238402</v>
      </c>
      <c r="C18" s="58">
        <f>returns!H18</f>
        <v>0.03134886396</v>
      </c>
      <c r="E18" s="59" t="s">
        <v>59</v>
      </c>
      <c r="F18" s="63">
        <v>-72405.0</v>
      </c>
      <c r="G18" s="63">
        <v>696072.0</v>
      </c>
      <c r="H18" s="63">
        <v>-1.0401911E7</v>
      </c>
      <c r="I18" s="63">
        <v>3.0335667E7</v>
      </c>
      <c r="J18" s="63">
        <v>-212286.0</v>
      </c>
      <c r="K18" s="63">
        <v>674761.0</v>
      </c>
      <c r="L18" s="63">
        <v>-212286.0</v>
      </c>
      <c r="M18" s="63">
        <v>674761.0</v>
      </c>
    </row>
    <row r="19">
      <c r="A19" s="8">
        <v>45957.0</v>
      </c>
      <c r="B19" s="58">
        <f>returns!G19</f>
        <v>-0.05372591785</v>
      </c>
      <c r="C19" s="58">
        <f>returns!H19</f>
        <v>-0.06212911347</v>
      </c>
      <c r="E19" s="64" t="s">
        <v>60</v>
      </c>
      <c r="F19" s="68">
        <v>-230398.0</v>
      </c>
      <c r="G19" s="68">
        <v>1332832.0</v>
      </c>
      <c r="H19" s="68">
        <v>-1.7286347E7</v>
      </c>
      <c r="I19" s="68">
        <v>9017162.0</v>
      </c>
      <c r="J19" s="68">
        <v>-4982406.0</v>
      </c>
      <c r="K19" s="68">
        <v>3744465.0</v>
      </c>
      <c r="L19" s="68">
        <v>-4982406.0</v>
      </c>
      <c r="M19" s="68">
        <v>3744465.0</v>
      </c>
    </row>
    <row r="20">
      <c r="A20" s="8">
        <v>45954.0</v>
      </c>
      <c r="B20" s="58">
        <f>returns!G20</f>
        <v>-0.02274124155</v>
      </c>
      <c r="C20" s="58">
        <f>returns!H20</f>
        <v>0.007701368125</v>
      </c>
      <c r="E20" s="60"/>
      <c r="F20" s="60"/>
      <c r="G20" s="60"/>
      <c r="H20" s="60"/>
      <c r="I20" s="60"/>
      <c r="J20" s="60"/>
      <c r="K20" s="60"/>
      <c r="L20" s="60"/>
      <c r="M20" s="60"/>
    </row>
    <row r="21">
      <c r="A21" s="8">
        <v>45943.0</v>
      </c>
      <c r="B21" s="58">
        <f>returns!G21</f>
        <v>0.03144654088</v>
      </c>
      <c r="C21" s="58">
        <f>returns!H21</f>
        <v>-0.01358477076</v>
      </c>
      <c r="E21" s="60"/>
      <c r="F21" s="60"/>
      <c r="G21" s="60"/>
      <c r="H21" s="60"/>
      <c r="I21" s="60"/>
      <c r="J21" s="60"/>
      <c r="K21" s="60"/>
      <c r="L21" s="60"/>
      <c r="M21" s="60"/>
    </row>
    <row r="22">
      <c r="A22" s="8">
        <v>45936.0</v>
      </c>
      <c r="B22" s="58">
        <f>returns!G22</f>
        <v>-0.05464939024</v>
      </c>
      <c r="C22" s="58">
        <f>returns!H22</f>
        <v>0.0221065132</v>
      </c>
      <c r="E22" s="60"/>
      <c r="F22" s="60"/>
      <c r="G22" s="60"/>
      <c r="H22" s="60"/>
      <c r="I22" s="60"/>
      <c r="J22" s="60"/>
      <c r="K22" s="60"/>
      <c r="L22" s="60"/>
      <c r="M22" s="60"/>
    </row>
    <row r="23">
      <c r="A23" s="8">
        <v>45929.0</v>
      </c>
      <c r="B23" s="58">
        <f>returns!G23</f>
        <v>-0.03079900024</v>
      </c>
      <c r="C23" s="58">
        <f>returns!H23</f>
        <v>-0.08729364682</v>
      </c>
    </row>
    <row r="24">
      <c r="A24" s="8">
        <v>45922.0</v>
      </c>
      <c r="B24" s="58">
        <f>returns!G24</f>
        <v>-0.0435903835</v>
      </c>
      <c r="C24" s="58">
        <f>returns!H24</f>
        <v>-0.01696582247</v>
      </c>
    </row>
    <row r="25">
      <c r="A25" s="8">
        <v>45915.0</v>
      </c>
      <c r="B25" s="58">
        <f>returns!G25</f>
        <v>-0.01878750979</v>
      </c>
      <c r="C25" s="58">
        <f>returns!H25</f>
        <v>0.05792074915</v>
      </c>
    </row>
    <row r="26">
      <c r="A26" s="8">
        <v>45908.0</v>
      </c>
      <c r="B26" s="58">
        <f>returns!G26</f>
        <v>0.07738675649</v>
      </c>
      <c r="C26" s="58">
        <f>returns!H26</f>
        <v>-0.04733190154</v>
      </c>
    </row>
    <row r="27">
      <c r="A27" s="8">
        <v>45901.0</v>
      </c>
      <c r="B27" s="58">
        <f>returns!G27</f>
        <v>-0.009626460425</v>
      </c>
      <c r="C27" s="58">
        <f>returns!H27</f>
        <v>-0.01336593317</v>
      </c>
    </row>
    <row r="28">
      <c r="A28" s="8">
        <v>45894.0</v>
      </c>
      <c r="B28" s="58">
        <f>returns!G28</f>
        <v>-0.02949239844</v>
      </c>
      <c r="C28" s="58">
        <f>returns!H28</f>
        <v>0.03248064625</v>
      </c>
    </row>
    <row r="29">
      <c r="A29" s="8">
        <v>45887.0</v>
      </c>
      <c r="B29" s="58">
        <f>returns!G29</f>
        <v>0.01694915254</v>
      </c>
      <c r="C29" s="58">
        <f>returns!H29</f>
        <v>-0.04454092298</v>
      </c>
    </row>
    <row r="30">
      <c r="A30" s="8">
        <v>45880.0</v>
      </c>
      <c r="B30" s="58">
        <f>returns!G30</f>
        <v>-0.05185185185</v>
      </c>
      <c r="C30" s="58">
        <f>returns!H30</f>
        <v>0.02946532031</v>
      </c>
    </row>
    <row r="31">
      <c r="A31" s="8">
        <v>45873.0</v>
      </c>
      <c r="B31" s="58">
        <f>returns!G31</f>
        <v>0.009410511364</v>
      </c>
      <c r="C31" s="58">
        <f>returns!H31</f>
        <v>0.002988543915</v>
      </c>
    </row>
    <row r="32">
      <c r="A32" s="8">
        <v>45866.0</v>
      </c>
      <c r="B32" s="58">
        <f>returns!G32</f>
        <v>-0.01495162709</v>
      </c>
      <c r="C32" s="58">
        <f>returns!H32</f>
        <v>-0.02768585035</v>
      </c>
    </row>
    <row r="33">
      <c r="A33" s="8">
        <v>45863.0</v>
      </c>
      <c r="B33" s="58">
        <f>returns!G33</f>
        <v>0.05455357143</v>
      </c>
      <c r="C33" s="58">
        <f>returns!H33</f>
        <v>0.02253218884</v>
      </c>
    </row>
    <row r="34">
      <c r="A34" s="8">
        <v>45852.0</v>
      </c>
      <c r="B34" s="58">
        <f>returns!G34</f>
        <v>-0.04580475828</v>
      </c>
      <c r="C34" s="58">
        <f>returns!H34</f>
        <v>0.04574486449</v>
      </c>
    </row>
    <row r="35">
      <c r="A35" s="8">
        <v>45845.0</v>
      </c>
      <c r="B35" s="58">
        <f>returns!G35</f>
        <v>0.005146406389</v>
      </c>
      <c r="C35" s="58">
        <f>returns!H35</f>
        <v>-0.01855146125</v>
      </c>
    </row>
    <row r="36">
      <c r="A36" s="8">
        <v>45838.0</v>
      </c>
      <c r="B36" s="58">
        <f>returns!G36</f>
        <v>0.03301553672</v>
      </c>
      <c r="C36" s="58">
        <f>returns!H36</f>
        <v>-0.02373470063</v>
      </c>
    </row>
    <row r="37">
      <c r="A37" s="8">
        <v>45831.0</v>
      </c>
      <c r="B37" s="58">
        <f>returns!G37</f>
        <v>-0.05315330713</v>
      </c>
      <c r="C37" s="58">
        <f>returns!H37</f>
        <v>-0.02883302546</v>
      </c>
    </row>
    <row r="38">
      <c r="A38" s="8">
        <v>45824.0</v>
      </c>
      <c r="B38" s="58">
        <f>returns!G38</f>
        <v>-0.03871841155</v>
      </c>
      <c r="C38" s="58">
        <f>returns!H38</f>
        <v>-0.04016342892</v>
      </c>
    </row>
    <row r="39">
      <c r="A39" s="8">
        <v>45817.0</v>
      </c>
      <c r="B39" s="58">
        <f>returns!G39</f>
        <v>0.01380152098</v>
      </c>
      <c r="C39" s="58">
        <f>returns!H39</f>
        <v>-0.01957523997</v>
      </c>
    </row>
    <row r="40">
      <c r="A40" s="8">
        <v>45810.0</v>
      </c>
      <c r="B40" s="58">
        <f>returns!G40</f>
        <v>0.0003704389702</v>
      </c>
      <c r="C40" s="58">
        <f>returns!H40</f>
        <v>0.07446808511</v>
      </c>
    </row>
    <row r="41">
      <c r="A41" s="8">
        <v>45804.0</v>
      </c>
      <c r="B41" s="58">
        <f>returns!G41</f>
        <v>0.0551749676</v>
      </c>
      <c r="C41" s="58">
        <f>returns!H41</f>
        <v>0.01592277865</v>
      </c>
    </row>
    <row r="42">
      <c r="A42" s="8">
        <v>45796.0</v>
      </c>
      <c r="B42" s="58">
        <f>returns!G42</f>
        <v>-0.002544306019</v>
      </c>
      <c r="C42" s="58">
        <f>returns!H42</f>
        <v>-0.02368103101</v>
      </c>
    </row>
    <row r="43">
      <c r="A43" s="8">
        <v>45789.0</v>
      </c>
      <c r="B43" s="58">
        <f>returns!G43</f>
        <v>0.02823467323</v>
      </c>
      <c r="C43" s="58">
        <f>returns!H43</f>
        <v>0.0284128562</v>
      </c>
    </row>
    <row r="44">
      <c r="A44" s="8">
        <v>45782.0</v>
      </c>
      <c r="B44" s="58">
        <f>returns!G44</f>
        <v>-0.01984602224</v>
      </c>
      <c r="C44" s="58">
        <f>returns!H44</f>
        <v>0.01839041674</v>
      </c>
    </row>
    <row r="45">
      <c r="A45" s="8">
        <v>45775.0</v>
      </c>
      <c r="B45" s="58">
        <f>returns!G45</f>
        <v>-0.006545644964</v>
      </c>
      <c r="C45" s="58">
        <f>returns!H45</f>
        <v>-0.005119597146</v>
      </c>
    </row>
    <row r="46">
      <c r="A46" s="8">
        <v>45772.0</v>
      </c>
      <c r="B46" s="58">
        <f>returns!G46</f>
        <v>0.1935342177</v>
      </c>
      <c r="C46" s="58">
        <f>returns!H46</f>
        <v>0.04499210665</v>
      </c>
    </row>
    <row r="47">
      <c r="A47" s="8">
        <v>45761.0</v>
      </c>
      <c r="B47" s="58">
        <f>returns!G47</f>
        <v>0.03430001472</v>
      </c>
      <c r="C47" s="58">
        <f>returns!H47</f>
        <v>-0.01409424989</v>
      </c>
    </row>
    <row r="48">
      <c r="A48" s="8">
        <v>45754.0</v>
      </c>
      <c r="B48" s="58">
        <f>returns!G48</f>
        <v>-0.01473099915</v>
      </c>
      <c r="C48" s="58">
        <f>returns!H48</f>
        <v>0.04993191103</v>
      </c>
    </row>
    <row r="49">
      <c r="A49" s="8">
        <v>45747.0</v>
      </c>
      <c r="B49" s="58">
        <f>returns!G49</f>
        <v>-0.06384976526</v>
      </c>
      <c r="C49" s="58">
        <f>returns!H49</f>
        <v>0.132065776</v>
      </c>
    </row>
    <row r="50">
      <c r="A50" s="8">
        <v>45740.0</v>
      </c>
      <c r="B50" s="58">
        <f>returns!G50</f>
        <v>0.01843993519</v>
      </c>
      <c r="C50" s="58">
        <f>returns!H50</f>
        <v>0.05956659044</v>
      </c>
    </row>
    <row r="51">
      <c r="A51" s="8">
        <v>45733.0</v>
      </c>
      <c r="B51" s="58">
        <f>returns!G51</f>
        <v>-0.0221969697</v>
      </c>
      <c r="C51" s="58">
        <f>returns!H51</f>
        <v>0.07290571328</v>
      </c>
    </row>
    <row r="52">
      <c r="A52" s="8">
        <v>45726.0</v>
      </c>
      <c r="B52" s="58">
        <f>returns!G52</f>
        <v>0.0137134888</v>
      </c>
      <c r="C52" s="58">
        <f>returns!H52</f>
        <v>-0.08352071956</v>
      </c>
    </row>
    <row r="53">
      <c r="A53" s="13"/>
      <c r="B53" s="58">
        <f>returns!G53</f>
        <v>-1</v>
      </c>
      <c r="C53" s="58">
        <f>returns!H53</f>
        <v>-0.02749140893</v>
      </c>
    </row>
    <row r="54">
      <c r="A54" s="13"/>
      <c r="B54" s="58"/>
      <c r="C54" s="58">
        <f>returns!H54</f>
        <v>0.04607843137</v>
      </c>
    </row>
    <row r="55">
      <c r="A55" s="13"/>
      <c r="B55" s="58"/>
      <c r="C55" s="58"/>
    </row>
    <row r="56">
      <c r="A56" s="13"/>
      <c r="B56" s="58"/>
      <c r="C56" s="58"/>
    </row>
    <row r="57">
      <c r="A57" s="13"/>
      <c r="B57" s="58"/>
      <c r="C57" s="58"/>
    </row>
    <row r="58">
      <c r="A58" s="13"/>
      <c r="B58" s="58"/>
      <c r="C58" s="58"/>
    </row>
    <row r="59">
      <c r="A59" s="13"/>
      <c r="B59" s="58"/>
      <c r="C59" s="58"/>
    </row>
    <row r="60">
      <c r="A60" s="13"/>
      <c r="B60" s="58"/>
      <c r="C60" s="58"/>
    </row>
    <row r="61">
      <c r="A61" s="13"/>
      <c r="B61" s="58"/>
      <c r="C61" s="58"/>
    </row>
    <row r="62">
      <c r="A62" s="13"/>
      <c r="B62" s="58"/>
      <c r="C62" s="58"/>
    </row>
    <row r="63">
      <c r="A63" s="13"/>
      <c r="B63" s="58"/>
      <c r="C63" s="58"/>
    </row>
    <row r="64">
      <c r="A64" s="13"/>
      <c r="B64" s="58"/>
      <c r="C64" s="58"/>
    </row>
    <row r="65">
      <c r="A65" s="13"/>
      <c r="B65" s="58"/>
      <c r="C65" s="58"/>
    </row>
    <row r="66">
      <c r="A66" s="13"/>
      <c r="B66" s="58"/>
      <c r="C66" s="58"/>
    </row>
    <row r="67">
      <c r="A67" s="13"/>
      <c r="B67" s="58"/>
      <c r="C67" s="58"/>
    </row>
    <row r="68">
      <c r="A68" s="13"/>
      <c r="B68" s="58"/>
      <c r="C68" s="58"/>
    </row>
    <row r="69">
      <c r="A69" s="13"/>
      <c r="B69" s="58"/>
      <c r="C69" s="58"/>
    </row>
    <row r="70">
      <c r="A70" s="13"/>
      <c r="B70" s="58"/>
      <c r="C70" s="58"/>
    </row>
    <row r="71">
      <c r="A71" s="13"/>
      <c r="B71" s="58"/>
      <c r="C71" s="58"/>
    </row>
    <row r="72">
      <c r="A72" s="13"/>
      <c r="B72" s="58"/>
      <c r="C72" s="58"/>
    </row>
    <row r="73">
      <c r="A73" s="13"/>
      <c r="B73" s="58"/>
      <c r="C73" s="58"/>
    </row>
    <row r="74">
      <c r="A74" s="13"/>
      <c r="B74" s="58"/>
      <c r="C74" s="58"/>
    </row>
    <row r="75">
      <c r="A75" s="13"/>
      <c r="B75" s="58"/>
      <c r="C75" s="58"/>
    </row>
    <row r="76">
      <c r="A76" s="13"/>
      <c r="B76" s="58"/>
      <c r="C76" s="58"/>
    </row>
    <row r="77">
      <c r="A77" s="13"/>
      <c r="B77" s="58"/>
      <c r="C77" s="58"/>
    </row>
    <row r="78">
      <c r="A78" s="13"/>
      <c r="B78" s="58"/>
      <c r="C78" s="58"/>
    </row>
    <row r="79">
      <c r="A79" s="13"/>
      <c r="B79" s="58"/>
      <c r="C79" s="58"/>
    </row>
    <row r="80">
      <c r="A80" s="13"/>
      <c r="B80" s="58"/>
      <c r="C80" s="58"/>
    </row>
    <row r="81">
      <c r="A81" s="13"/>
      <c r="B81" s="58"/>
      <c r="C81" s="58"/>
    </row>
    <row r="82">
      <c r="A82" s="13"/>
      <c r="B82" s="58"/>
      <c r="C82" s="58"/>
    </row>
    <row r="83">
      <c r="A83" s="13"/>
      <c r="B83" s="58"/>
      <c r="C83" s="58"/>
    </row>
    <row r="84">
      <c r="A84" s="13"/>
      <c r="B84" s="58"/>
      <c r="C84" s="58"/>
    </row>
    <row r="85">
      <c r="A85" s="13"/>
      <c r="B85" s="58"/>
      <c r="C85" s="58"/>
    </row>
    <row r="86">
      <c r="A86" s="13"/>
      <c r="B86" s="58"/>
      <c r="C86" s="58"/>
    </row>
    <row r="87">
      <c r="A87" s="13"/>
      <c r="B87" s="58"/>
      <c r="C87" s="58"/>
    </row>
    <row r="88">
      <c r="A88" s="13"/>
      <c r="B88" s="58"/>
      <c r="C88" s="58"/>
    </row>
    <row r="89">
      <c r="A89" s="13"/>
      <c r="B89" s="58"/>
      <c r="C89" s="58"/>
    </row>
    <row r="90">
      <c r="A90" s="13"/>
      <c r="B90" s="58"/>
      <c r="C90" s="58"/>
    </row>
    <row r="91">
      <c r="A91" s="13"/>
      <c r="B91" s="58"/>
      <c r="C91" s="58"/>
    </row>
    <row r="92">
      <c r="A92" s="13"/>
      <c r="B92" s="58"/>
      <c r="C92" s="58"/>
    </row>
    <row r="93">
      <c r="A93" s="13"/>
      <c r="B93" s="58"/>
      <c r="C93" s="58"/>
    </row>
    <row r="94">
      <c r="A94" s="13"/>
      <c r="B94" s="58"/>
      <c r="C94" s="58"/>
    </row>
    <row r="95">
      <c r="A95" s="13"/>
      <c r="B95" s="58"/>
      <c r="C95" s="58"/>
    </row>
    <row r="96">
      <c r="A96" s="13"/>
      <c r="B96" s="58"/>
      <c r="C96" s="58"/>
    </row>
    <row r="97">
      <c r="A97" s="13"/>
      <c r="B97" s="58"/>
      <c r="C97" s="58"/>
    </row>
    <row r="98">
      <c r="A98" s="13"/>
      <c r="B98" s="58"/>
      <c r="C98" s="58"/>
    </row>
    <row r="99">
      <c r="A99" s="13"/>
      <c r="B99" s="58"/>
      <c r="C99" s="58"/>
    </row>
    <row r="100">
      <c r="A100" s="13"/>
      <c r="B100" s="58"/>
      <c r="C100" s="58"/>
    </row>
    <row r="101">
      <c r="A101" s="13"/>
      <c r="B101" s="58"/>
      <c r="C101" s="58"/>
    </row>
    <row r="102">
      <c r="A102" s="13"/>
      <c r="B102" s="58"/>
      <c r="C102" s="58"/>
    </row>
    <row r="103">
      <c r="A103" s="13"/>
      <c r="B103" s="58"/>
      <c r="C103" s="58"/>
    </row>
    <row r="104">
      <c r="A104" s="13"/>
      <c r="B104" s="58"/>
      <c r="C104" s="58"/>
    </row>
    <row r="105">
      <c r="A105" s="13"/>
      <c r="B105" s="58"/>
      <c r="C105" s="58"/>
    </row>
    <row r="106">
      <c r="A106" s="13"/>
      <c r="B106" s="58"/>
      <c r="C106" s="58"/>
    </row>
    <row r="107">
      <c r="A107" s="13"/>
      <c r="B107" s="58"/>
      <c r="C107" s="58"/>
    </row>
    <row r="108">
      <c r="A108" s="13"/>
      <c r="B108" s="58"/>
      <c r="C108" s="58"/>
    </row>
    <row r="109">
      <c r="A109" s="13"/>
      <c r="B109" s="58"/>
      <c r="C109" s="58"/>
    </row>
    <row r="110">
      <c r="A110" s="13"/>
      <c r="B110" s="58"/>
      <c r="C110" s="58"/>
    </row>
    <row r="111">
      <c r="A111" s="13"/>
      <c r="B111" s="58"/>
      <c r="C111" s="58"/>
    </row>
    <row r="112">
      <c r="A112" s="13"/>
      <c r="B112" s="58"/>
      <c r="C112" s="58"/>
    </row>
    <row r="113">
      <c r="A113" s="13"/>
      <c r="B113" s="58"/>
      <c r="C113" s="58"/>
    </row>
    <row r="114">
      <c r="A114" s="13"/>
      <c r="B114" s="58"/>
      <c r="C114" s="58"/>
    </row>
    <row r="115">
      <c r="A115" s="13"/>
      <c r="B115" s="58"/>
      <c r="C115" s="58"/>
    </row>
    <row r="116">
      <c r="A116" s="13"/>
      <c r="B116" s="58"/>
      <c r="C116" s="58"/>
    </row>
    <row r="117">
      <c r="A117" s="13"/>
      <c r="B117" s="58"/>
      <c r="C117" s="58"/>
    </row>
    <row r="118">
      <c r="A118" s="13"/>
      <c r="B118" s="58"/>
      <c r="C118" s="58"/>
    </row>
    <row r="119">
      <c r="A119" s="13"/>
      <c r="B119" s="58"/>
      <c r="C119" s="58"/>
    </row>
    <row r="120">
      <c r="A120" s="13"/>
      <c r="B120" s="58"/>
      <c r="C120" s="58"/>
    </row>
    <row r="121">
      <c r="A121" s="13"/>
      <c r="B121" s="58"/>
      <c r="C121" s="58"/>
    </row>
    <row r="122">
      <c r="A122" s="13"/>
      <c r="B122" s="58"/>
      <c r="C122" s="58"/>
    </row>
    <row r="123">
      <c r="A123" s="13"/>
      <c r="B123" s="58"/>
      <c r="C123" s="58"/>
    </row>
    <row r="124">
      <c r="A124" s="13"/>
      <c r="B124" s="58"/>
      <c r="C124" s="58"/>
    </row>
    <row r="125">
      <c r="A125" s="13"/>
      <c r="B125" s="58"/>
      <c r="C125" s="58"/>
    </row>
    <row r="126">
      <c r="A126" s="13"/>
      <c r="B126" s="58"/>
      <c r="C126" s="58"/>
    </row>
    <row r="127">
      <c r="A127" s="13"/>
      <c r="B127" s="58"/>
      <c r="C127" s="58"/>
    </row>
    <row r="128">
      <c r="A128" s="13"/>
      <c r="B128" s="58"/>
      <c r="C128" s="58"/>
    </row>
    <row r="129">
      <c r="A129" s="13"/>
      <c r="B129" s="58"/>
      <c r="C129" s="58"/>
    </row>
    <row r="130">
      <c r="A130" s="13"/>
      <c r="B130" s="58"/>
      <c r="C130" s="58"/>
    </row>
    <row r="131">
      <c r="A131" s="13"/>
      <c r="B131" s="58"/>
      <c r="C131" s="58"/>
    </row>
    <row r="132">
      <c r="A132" s="13"/>
      <c r="B132" s="58"/>
      <c r="C132" s="58"/>
    </row>
    <row r="133">
      <c r="A133" s="13"/>
      <c r="B133" s="58"/>
      <c r="C133" s="58"/>
    </row>
    <row r="134">
      <c r="A134" s="13"/>
      <c r="B134" s="58"/>
      <c r="C134" s="58"/>
    </row>
    <row r="135">
      <c r="A135" s="13"/>
      <c r="B135" s="58"/>
      <c r="C135" s="58"/>
    </row>
    <row r="136">
      <c r="A136" s="13"/>
      <c r="B136" s="58"/>
      <c r="C136" s="58"/>
    </row>
    <row r="137">
      <c r="A137" s="13"/>
      <c r="B137" s="58"/>
      <c r="C137" s="58"/>
    </row>
    <row r="138">
      <c r="A138" s="13"/>
      <c r="B138" s="58"/>
      <c r="C138" s="58"/>
    </row>
    <row r="139">
      <c r="A139" s="13"/>
      <c r="B139" s="58"/>
      <c r="C139" s="58"/>
    </row>
    <row r="140">
      <c r="A140" s="13"/>
      <c r="B140" s="58"/>
      <c r="C140" s="58"/>
    </row>
    <row r="141">
      <c r="A141" s="13"/>
      <c r="B141" s="58"/>
      <c r="C141" s="58"/>
    </row>
    <row r="142">
      <c r="A142" s="13"/>
      <c r="B142" s="58"/>
      <c r="C142" s="58"/>
    </row>
    <row r="143">
      <c r="A143" s="13"/>
      <c r="B143" s="58"/>
      <c r="C143" s="58"/>
    </row>
    <row r="144">
      <c r="A144" s="13"/>
      <c r="B144" s="58"/>
      <c r="C144" s="58"/>
    </row>
    <row r="145">
      <c r="A145" s="13"/>
      <c r="B145" s="58"/>
      <c r="C145" s="58"/>
    </row>
    <row r="146">
      <c r="A146" s="13"/>
      <c r="B146" s="58"/>
      <c r="C146" s="58"/>
    </row>
    <row r="147">
      <c r="A147" s="13"/>
      <c r="B147" s="58"/>
      <c r="C147" s="58"/>
    </row>
    <row r="148">
      <c r="A148" s="13"/>
      <c r="B148" s="58"/>
      <c r="C148" s="58"/>
    </row>
    <row r="149">
      <c r="A149" s="13"/>
      <c r="B149" s="58"/>
      <c r="C149" s="58"/>
    </row>
    <row r="150">
      <c r="A150" s="13"/>
      <c r="B150" s="58"/>
      <c r="C150" s="58"/>
    </row>
    <row r="151">
      <c r="A151" s="13"/>
      <c r="B151" s="58"/>
      <c r="C151" s="58"/>
    </row>
    <row r="152">
      <c r="A152" s="13"/>
      <c r="B152" s="58"/>
      <c r="C152" s="58"/>
    </row>
    <row r="153">
      <c r="A153" s="13"/>
      <c r="B153" s="58"/>
      <c r="C153" s="58"/>
    </row>
    <row r="154">
      <c r="A154" s="13"/>
      <c r="B154" s="58"/>
      <c r="C154" s="58"/>
    </row>
    <row r="155">
      <c r="A155" s="13"/>
      <c r="B155" s="58"/>
      <c r="C155" s="58"/>
    </row>
    <row r="156">
      <c r="A156" s="13"/>
      <c r="B156" s="58"/>
      <c r="C156" s="58"/>
    </row>
    <row r="157">
      <c r="A157" s="13"/>
      <c r="B157" s="58"/>
      <c r="C157" s="58"/>
    </row>
    <row r="158">
      <c r="A158" s="13"/>
      <c r="B158" s="58"/>
      <c r="C158" s="58"/>
    </row>
    <row r="159">
      <c r="A159" s="13"/>
      <c r="B159" s="58"/>
      <c r="C159" s="58"/>
    </row>
    <row r="160">
      <c r="A160" s="13"/>
      <c r="B160" s="58"/>
      <c r="C160" s="58"/>
    </row>
    <row r="161">
      <c r="A161" s="13"/>
      <c r="B161" s="58"/>
      <c r="C161" s="58"/>
    </row>
    <row r="162">
      <c r="A162" s="13"/>
      <c r="B162" s="58"/>
      <c r="C162" s="58"/>
    </row>
    <row r="163">
      <c r="A163" s="13"/>
      <c r="B163" s="58"/>
      <c r="C163" s="58"/>
    </row>
    <row r="164">
      <c r="A164" s="13"/>
      <c r="B164" s="58"/>
      <c r="C164" s="58"/>
    </row>
    <row r="165">
      <c r="A165" s="13"/>
      <c r="B165" s="58"/>
      <c r="C165" s="58"/>
    </row>
    <row r="166">
      <c r="A166" s="13"/>
      <c r="B166" s="58"/>
      <c r="C166" s="58"/>
    </row>
    <row r="167">
      <c r="A167" s="13"/>
      <c r="B167" s="58"/>
      <c r="C167" s="58"/>
    </row>
    <row r="168">
      <c r="A168" s="13"/>
      <c r="B168" s="58"/>
      <c r="C168" s="58"/>
    </row>
    <row r="169">
      <c r="A169" s="13"/>
      <c r="B169" s="58"/>
      <c r="C169" s="58"/>
    </row>
    <row r="170">
      <c r="A170" s="13"/>
      <c r="B170" s="58"/>
      <c r="C170" s="58"/>
    </row>
    <row r="171">
      <c r="A171" s="13"/>
      <c r="B171" s="58"/>
      <c r="C171" s="58"/>
    </row>
    <row r="172">
      <c r="A172" s="13"/>
      <c r="B172" s="58"/>
      <c r="C172" s="58"/>
    </row>
    <row r="173">
      <c r="A173" s="13"/>
      <c r="B173" s="58"/>
      <c r="C173" s="58"/>
    </row>
    <row r="174">
      <c r="A174" s="13"/>
      <c r="B174" s="58"/>
      <c r="C174" s="58"/>
    </row>
    <row r="175">
      <c r="A175" s="13"/>
      <c r="B175" s="58"/>
      <c r="C175" s="58"/>
    </row>
    <row r="176">
      <c r="A176" s="13"/>
      <c r="B176" s="58"/>
      <c r="C176" s="58"/>
    </row>
    <row r="177">
      <c r="A177" s="13"/>
      <c r="B177" s="58"/>
      <c r="C177" s="58"/>
    </row>
    <row r="178">
      <c r="A178" s="13"/>
      <c r="B178" s="58"/>
      <c r="C178" s="58"/>
    </row>
    <row r="179">
      <c r="A179" s="13"/>
      <c r="B179" s="58"/>
      <c r="C179" s="58"/>
    </row>
    <row r="180">
      <c r="A180" s="13"/>
      <c r="B180" s="58"/>
      <c r="C180" s="58"/>
    </row>
    <row r="181">
      <c r="A181" s="13"/>
      <c r="B181" s="58"/>
      <c r="C181" s="58"/>
    </row>
    <row r="182">
      <c r="A182" s="13"/>
      <c r="B182" s="58"/>
      <c r="C182" s="58"/>
    </row>
    <row r="183">
      <c r="A183" s="13"/>
      <c r="B183" s="58"/>
      <c r="C183" s="58"/>
    </row>
    <row r="184">
      <c r="A184" s="13"/>
      <c r="B184" s="58"/>
      <c r="C184" s="58"/>
    </row>
    <row r="185">
      <c r="A185" s="13"/>
      <c r="B185" s="58"/>
      <c r="C185" s="58"/>
    </row>
    <row r="186">
      <c r="A186" s="13"/>
      <c r="B186" s="58"/>
      <c r="C186" s="58"/>
    </row>
    <row r="187">
      <c r="A187" s="13"/>
      <c r="B187" s="58"/>
      <c r="C187" s="58"/>
    </row>
    <row r="188">
      <c r="A188" s="13"/>
      <c r="B188" s="58"/>
      <c r="C188" s="58"/>
    </row>
    <row r="189">
      <c r="A189" s="13"/>
      <c r="B189" s="58"/>
      <c r="C189" s="58"/>
    </row>
    <row r="190">
      <c r="A190" s="13"/>
      <c r="B190" s="58"/>
      <c r="C190" s="58"/>
    </row>
    <row r="191">
      <c r="A191" s="13"/>
      <c r="B191" s="58"/>
      <c r="C191" s="58"/>
    </row>
    <row r="192">
      <c r="A192" s="13"/>
      <c r="B192" s="58"/>
      <c r="C192" s="58"/>
    </row>
    <row r="193">
      <c r="A193" s="13"/>
      <c r="B193" s="58"/>
      <c r="C193" s="58"/>
    </row>
    <row r="194">
      <c r="A194" s="13"/>
      <c r="B194" s="58"/>
      <c r="C194" s="58"/>
    </row>
    <row r="195">
      <c r="A195" s="13"/>
      <c r="B195" s="58"/>
      <c r="C195" s="58"/>
    </row>
    <row r="196">
      <c r="A196" s="13"/>
      <c r="B196" s="58"/>
      <c r="C196" s="58"/>
    </row>
    <row r="197">
      <c r="A197" s="13"/>
      <c r="B197" s="58"/>
      <c r="C197" s="58"/>
    </row>
    <row r="198">
      <c r="A198" s="13"/>
      <c r="B198" s="58"/>
      <c r="C198" s="58"/>
    </row>
    <row r="199">
      <c r="A199" s="13"/>
      <c r="B199" s="58"/>
      <c r="C199" s="58"/>
    </row>
    <row r="200">
      <c r="A200" s="13"/>
      <c r="B200" s="58"/>
      <c r="C200" s="58"/>
    </row>
    <row r="201">
      <c r="A201" s="13"/>
      <c r="B201" s="58"/>
      <c r="C201" s="58"/>
    </row>
    <row r="202">
      <c r="A202" s="13"/>
      <c r="B202" s="58"/>
      <c r="C202" s="58"/>
    </row>
    <row r="203">
      <c r="A203" s="13"/>
      <c r="B203" s="58"/>
      <c r="C203" s="58"/>
    </row>
    <row r="204">
      <c r="A204" s="13"/>
      <c r="B204" s="58"/>
      <c r="C204" s="58"/>
    </row>
    <row r="205">
      <c r="A205" s="13"/>
      <c r="B205" s="58"/>
      <c r="C205" s="58"/>
    </row>
    <row r="206">
      <c r="A206" s="13"/>
      <c r="B206" s="58"/>
      <c r="C206" s="58"/>
    </row>
    <row r="207">
      <c r="A207" s="13"/>
      <c r="B207" s="58"/>
      <c r="C207" s="58"/>
    </row>
    <row r="208">
      <c r="A208" s="13"/>
      <c r="B208" s="58"/>
      <c r="C208" s="58"/>
    </row>
    <row r="209">
      <c r="A209" s="13"/>
      <c r="B209" s="58"/>
      <c r="C209" s="58"/>
    </row>
    <row r="210">
      <c r="A210" s="13"/>
      <c r="B210" s="58"/>
      <c r="C210" s="58"/>
    </row>
    <row r="211">
      <c r="A211" s="13"/>
      <c r="B211" s="58"/>
      <c r="C211" s="58"/>
    </row>
    <row r="212">
      <c r="A212" s="13"/>
      <c r="B212" s="58"/>
      <c r="C212" s="58"/>
    </row>
    <row r="213">
      <c r="A213" s="13"/>
      <c r="B213" s="58"/>
      <c r="C213" s="58"/>
    </row>
    <row r="214">
      <c r="A214" s="13"/>
      <c r="B214" s="58"/>
      <c r="C214" s="58"/>
    </row>
    <row r="215">
      <c r="A215" s="13"/>
      <c r="B215" s="58"/>
      <c r="C215" s="58"/>
    </row>
    <row r="216">
      <c r="A216" s="13"/>
      <c r="B216" s="58"/>
      <c r="C216" s="58"/>
    </row>
    <row r="217">
      <c r="A217" s="13"/>
      <c r="B217" s="58"/>
      <c r="C217" s="58"/>
    </row>
    <row r="218">
      <c r="A218" s="13"/>
      <c r="B218" s="58"/>
      <c r="C218" s="58"/>
    </row>
    <row r="219">
      <c r="A219" s="13"/>
      <c r="B219" s="58"/>
      <c r="C219" s="58"/>
    </row>
    <row r="220">
      <c r="A220" s="13"/>
      <c r="B220" s="58"/>
      <c r="C220" s="58"/>
    </row>
    <row r="221">
      <c r="A221" s="13"/>
      <c r="B221" s="58"/>
      <c r="C221" s="58"/>
    </row>
    <row r="222">
      <c r="A222" s="13"/>
      <c r="B222" s="58"/>
      <c r="C222" s="58"/>
    </row>
    <row r="223">
      <c r="A223" s="13"/>
      <c r="B223" s="58"/>
      <c r="C223" s="58"/>
    </row>
    <row r="224">
      <c r="A224" s="13"/>
      <c r="B224" s="58"/>
      <c r="C224" s="58"/>
    </row>
    <row r="225">
      <c r="A225" s="13"/>
      <c r="B225" s="58"/>
      <c r="C225" s="58"/>
    </row>
    <row r="226">
      <c r="A226" s="13"/>
      <c r="B226" s="58"/>
      <c r="C226" s="58"/>
    </row>
    <row r="227">
      <c r="A227" s="13"/>
      <c r="B227" s="58"/>
      <c r="C227" s="58"/>
    </row>
    <row r="228">
      <c r="A228" s="13"/>
      <c r="B228" s="58"/>
      <c r="C228" s="58"/>
    </row>
    <row r="229">
      <c r="A229" s="13"/>
      <c r="B229" s="58"/>
      <c r="C229" s="58"/>
    </row>
    <row r="230">
      <c r="A230" s="13"/>
      <c r="B230" s="58"/>
      <c r="C230" s="58"/>
    </row>
    <row r="231">
      <c r="A231" s="13"/>
      <c r="B231" s="58"/>
      <c r="C231" s="58"/>
    </row>
    <row r="232">
      <c r="A232" s="13"/>
      <c r="B232" s="58"/>
      <c r="C232" s="58"/>
    </row>
    <row r="233">
      <c r="A233" s="13"/>
      <c r="B233" s="58"/>
      <c r="C233" s="58"/>
    </row>
    <row r="234">
      <c r="A234" s="13"/>
      <c r="B234" s="58"/>
      <c r="C234" s="58"/>
    </row>
    <row r="235">
      <c r="A235" s="13"/>
      <c r="B235" s="58"/>
      <c r="C235" s="58"/>
    </row>
    <row r="236">
      <c r="A236" s="13"/>
      <c r="B236" s="58"/>
      <c r="C236" s="58"/>
    </row>
    <row r="237">
      <c r="A237" s="13"/>
      <c r="B237" s="58"/>
      <c r="C237" s="58"/>
    </row>
    <row r="238">
      <c r="A238" s="13"/>
      <c r="B238" s="58"/>
      <c r="C238" s="58"/>
    </row>
    <row r="239">
      <c r="A239" s="13"/>
      <c r="B239" s="58"/>
      <c r="C239" s="58"/>
    </row>
    <row r="240">
      <c r="A240" s="13"/>
      <c r="B240" s="58"/>
      <c r="C240" s="58"/>
    </row>
    <row r="241">
      <c r="A241" s="13"/>
      <c r="B241" s="58"/>
      <c r="C241" s="58"/>
    </row>
    <row r="242">
      <c r="A242" s="13"/>
      <c r="B242" s="58"/>
      <c r="C242" s="58"/>
    </row>
    <row r="243">
      <c r="A243" s="13"/>
      <c r="B243" s="58"/>
      <c r="C243" s="58"/>
    </row>
    <row r="244">
      <c r="A244" s="13"/>
      <c r="B244" s="58"/>
      <c r="C244" s="58"/>
    </row>
    <row r="245">
      <c r="A245" s="13"/>
      <c r="B245" s="58"/>
      <c r="C245" s="58"/>
    </row>
    <row r="246">
      <c r="A246" s="13"/>
      <c r="B246" s="58"/>
      <c r="C246" s="58"/>
    </row>
    <row r="247">
      <c r="A247" s="13"/>
      <c r="B247" s="58"/>
      <c r="C247" s="58"/>
    </row>
    <row r="248">
      <c r="A248" s="13"/>
      <c r="B248" s="58"/>
      <c r="C248" s="58"/>
    </row>
    <row r="249">
      <c r="A249" s="13"/>
      <c r="B249" s="58"/>
      <c r="C249" s="58"/>
    </row>
    <row r="250">
      <c r="A250" s="13"/>
      <c r="B250" s="58"/>
      <c r="C250" s="58"/>
    </row>
    <row r="251">
      <c r="A251" s="13"/>
      <c r="B251" s="58"/>
      <c r="C251" s="58"/>
    </row>
    <row r="252">
      <c r="A252" s="13"/>
      <c r="B252" s="58"/>
      <c r="C252" s="58"/>
    </row>
    <row r="253">
      <c r="A253" s="13"/>
      <c r="B253" s="58"/>
      <c r="C253" s="58"/>
    </row>
    <row r="254">
      <c r="A254" s="13"/>
      <c r="B254" s="58"/>
      <c r="C254" s="58"/>
    </row>
    <row r="255">
      <c r="A255" s="13"/>
      <c r="B255" s="58"/>
      <c r="C255" s="58"/>
    </row>
    <row r="256">
      <c r="A256" s="13"/>
      <c r="B256" s="58"/>
      <c r="C256" s="58"/>
    </row>
    <row r="257">
      <c r="A257" s="13"/>
      <c r="B257" s="58"/>
      <c r="C257" s="58"/>
    </row>
    <row r="258">
      <c r="A258" s="13"/>
      <c r="B258" s="58"/>
      <c r="C258" s="58"/>
    </row>
    <row r="259">
      <c r="A259" s="13"/>
      <c r="B259" s="58"/>
      <c r="C259" s="58"/>
    </row>
    <row r="260">
      <c r="A260" s="13"/>
      <c r="B260" s="58"/>
      <c r="C260" s="58"/>
    </row>
    <row r="261">
      <c r="A261" s="13"/>
      <c r="B261" s="58"/>
      <c r="C261" s="58"/>
    </row>
    <row r="262">
      <c r="A262" s="13"/>
      <c r="B262" s="58"/>
      <c r="C262" s="58"/>
    </row>
    <row r="263">
      <c r="A263" s="35"/>
      <c r="B263" s="58"/>
      <c r="C263" s="58"/>
    </row>
    <row r="264">
      <c r="A264" s="35"/>
      <c r="B264" s="58"/>
      <c r="C264" s="58"/>
    </row>
    <row r="265">
      <c r="A265" s="35"/>
      <c r="B265" s="58"/>
      <c r="C265" s="58"/>
    </row>
    <row r="266">
      <c r="A266" s="35"/>
      <c r="B266" s="58"/>
      <c r="C266" s="58"/>
    </row>
    <row r="267">
      <c r="A267" s="35"/>
      <c r="B267" s="58"/>
      <c r="C267" s="58"/>
    </row>
    <row r="268">
      <c r="A268" s="35"/>
      <c r="B268" s="58"/>
      <c r="C268" s="58"/>
    </row>
    <row r="269">
      <c r="A269" s="35"/>
      <c r="B269" s="58"/>
      <c r="C269" s="58"/>
    </row>
    <row r="270">
      <c r="A270" s="35"/>
      <c r="B270" s="58"/>
      <c r="C270" s="58"/>
    </row>
    <row r="271">
      <c r="A271" s="35"/>
      <c r="B271" s="58"/>
      <c r="C271" s="58"/>
    </row>
    <row r="272">
      <c r="A272" s="35"/>
      <c r="B272" s="58"/>
      <c r="C272" s="58"/>
    </row>
    <row r="273">
      <c r="A273" s="35"/>
      <c r="B273" s="58"/>
      <c r="C273" s="58"/>
    </row>
    <row r="274">
      <c r="A274" s="35"/>
      <c r="B274" s="58"/>
      <c r="C274" s="58"/>
    </row>
    <row r="275">
      <c r="A275" s="35"/>
      <c r="B275" s="58"/>
      <c r="C275" s="58"/>
    </row>
    <row r="276">
      <c r="A276" s="35"/>
      <c r="B276" s="58"/>
      <c r="C276" s="58"/>
    </row>
    <row r="277">
      <c r="A277" s="35"/>
      <c r="B277" s="58"/>
      <c r="C277" s="58"/>
    </row>
    <row r="278">
      <c r="A278" s="35"/>
      <c r="B278" s="58"/>
      <c r="C278" s="58"/>
    </row>
    <row r="279">
      <c r="A279" s="35"/>
      <c r="B279" s="58"/>
      <c r="C279" s="58"/>
    </row>
    <row r="280">
      <c r="A280" s="35"/>
      <c r="B280" s="58"/>
      <c r="C280" s="58"/>
    </row>
    <row r="281">
      <c r="A281" s="35"/>
      <c r="B281" s="58"/>
      <c r="C281" s="58"/>
    </row>
    <row r="282">
      <c r="A282" s="35"/>
      <c r="B282" s="58"/>
      <c r="C282" s="58"/>
    </row>
    <row r="283">
      <c r="A283" s="35"/>
      <c r="B283" s="58"/>
      <c r="C283" s="58"/>
    </row>
    <row r="284">
      <c r="A284" s="35"/>
      <c r="B284" s="58"/>
      <c r="C284" s="58"/>
    </row>
    <row r="285">
      <c r="A285" s="35"/>
      <c r="B285" s="58"/>
      <c r="C285" s="58"/>
    </row>
    <row r="286">
      <c r="A286" s="35"/>
      <c r="B286" s="58"/>
      <c r="C286" s="58"/>
    </row>
    <row r="287">
      <c r="A287" s="35"/>
      <c r="B287" s="58"/>
      <c r="C287" s="58"/>
    </row>
    <row r="288">
      <c r="A288" s="35"/>
      <c r="B288" s="58"/>
      <c r="C288" s="58"/>
    </row>
    <row r="289">
      <c r="A289" s="35"/>
      <c r="B289" s="58"/>
      <c r="C289" s="58"/>
    </row>
    <row r="290">
      <c r="A290" s="35"/>
      <c r="B290" s="58"/>
      <c r="C290" s="58"/>
    </row>
    <row r="291">
      <c r="A291" s="35"/>
      <c r="B291" s="58"/>
      <c r="C291" s="58"/>
    </row>
    <row r="292">
      <c r="A292" s="35"/>
      <c r="B292" s="58"/>
      <c r="C292" s="58"/>
    </row>
    <row r="293">
      <c r="A293" s="35"/>
      <c r="B293" s="58"/>
      <c r="C293" s="58"/>
    </row>
    <row r="294">
      <c r="A294" s="35"/>
      <c r="B294" s="58"/>
      <c r="C294" s="58"/>
    </row>
    <row r="295">
      <c r="A295" s="35"/>
      <c r="B295" s="58"/>
      <c r="C295" s="58"/>
    </row>
    <row r="296">
      <c r="A296" s="35"/>
      <c r="B296" s="58"/>
      <c r="C296" s="58"/>
    </row>
    <row r="297">
      <c r="A297" s="35"/>
      <c r="B297" s="58"/>
      <c r="C297" s="58"/>
    </row>
    <row r="298">
      <c r="A298" s="35"/>
      <c r="B298" s="58"/>
      <c r="C298" s="58"/>
    </row>
    <row r="299">
      <c r="A299" s="35"/>
      <c r="B299" s="58"/>
      <c r="C299" s="58"/>
    </row>
    <row r="300">
      <c r="A300" s="35"/>
      <c r="B300" s="58"/>
      <c r="C300" s="58"/>
    </row>
    <row r="301">
      <c r="A301" s="35"/>
      <c r="B301" s="58"/>
      <c r="C301" s="58"/>
    </row>
    <row r="302">
      <c r="A302" s="35"/>
      <c r="B302" s="58"/>
      <c r="C302" s="58"/>
    </row>
    <row r="303">
      <c r="A303" s="35"/>
      <c r="B303" s="58"/>
      <c r="C303" s="58"/>
    </row>
    <row r="304">
      <c r="A304" s="35"/>
      <c r="B304" s="58"/>
      <c r="C304" s="58"/>
    </row>
    <row r="305">
      <c r="A305" s="35"/>
      <c r="B305" s="58"/>
      <c r="C305" s="58"/>
    </row>
    <row r="306">
      <c r="A306" s="35"/>
      <c r="B306" s="58"/>
      <c r="C306" s="58"/>
    </row>
    <row r="307">
      <c r="A307" s="35"/>
      <c r="B307" s="58"/>
      <c r="C307" s="58"/>
    </row>
    <row r="308">
      <c r="A308" s="35"/>
      <c r="B308" s="58"/>
      <c r="C308" s="58"/>
    </row>
    <row r="309">
      <c r="A309" s="35"/>
      <c r="B309" s="58"/>
      <c r="C309" s="58"/>
    </row>
    <row r="310">
      <c r="A310" s="35"/>
      <c r="B310" s="58"/>
      <c r="C310" s="58"/>
    </row>
    <row r="311">
      <c r="A311" s="35"/>
      <c r="B311" s="58"/>
      <c r="C311" s="58"/>
    </row>
    <row r="312">
      <c r="A312" s="35"/>
      <c r="B312" s="58"/>
      <c r="C312" s="58"/>
    </row>
    <row r="313">
      <c r="A313" s="35"/>
      <c r="B313" s="58"/>
      <c r="C313" s="58"/>
    </row>
    <row r="314">
      <c r="A314" s="35"/>
      <c r="B314" s="58"/>
      <c r="C314" s="58"/>
    </row>
    <row r="315">
      <c r="A315" s="35"/>
      <c r="B315" s="58"/>
      <c r="C315" s="58"/>
    </row>
    <row r="316">
      <c r="A316" s="35"/>
      <c r="B316" s="58"/>
      <c r="C316" s="58"/>
    </row>
    <row r="317">
      <c r="A317" s="35"/>
      <c r="B317" s="58"/>
      <c r="C317" s="58"/>
    </row>
    <row r="318">
      <c r="A318" s="35"/>
      <c r="B318" s="58"/>
      <c r="C318" s="58"/>
    </row>
    <row r="319">
      <c r="A319" s="35"/>
      <c r="B319" s="58"/>
      <c r="C319" s="58"/>
    </row>
    <row r="320">
      <c r="A320" s="35"/>
      <c r="B320" s="58"/>
      <c r="C320" s="58"/>
    </row>
    <row r="321">
      <c r="A321" s="35"/>
      <c r="B321" s="58"/>
      <c r="C321" s="58"/>
    </row>
    <row r="322">
      <c r="A322" s="35"/>
      <c r="B322" s="58"/>
      <c r="C322" s="58"/>
    </row>
    <row r="323">
      <c r="A323" s="35"/>
      <c r="B323" s="58"/>
      <c r="C323" s="58"/>
    </row>
    <row r="324">
      <c r="A324" s="35"/>
      <c r="B324" s="58"/>
      <c r="C324" s="58"/>
    </row>
    <row r="325">
      <c r="A325" s="35"/>
      <c r="B325" s="58"/>
      <c r="C325" s="58"/>
    </row>
    <row r="326">
      <c r="A326" s="35"/>
      <c r="B326" s="58"/>
      <c r="C326" s="58"/>
    </row>
    <row r="327">
      <c r="A327" s="35"/>
      <c r="B327" s="58"/>
      <c r="C327" s="58"/>
    </row>
    <row r="328">
      <c r="A328" s="35"/>
      <c r="B328" s="58"/>
      <c r="C328" s="58"/>
    </row>
    <row r="329">
      <c r="A329" s="35"/>
      <c r="B329" s="58"/>
      <c r="C329" s="58"/>
    </row>
    <row r="330">
      <c r="A330" s="35"/>
      <c r="B330" s="58"/>
      <c r="C330" s="58"/>
    </row>
    <row r="331">
      <c r="A331" s="35"/>
      <c r="B331" s="58"/>
      <c r="C331" s="58"/>
    </row>
    <row r="332">
      <c r="A332" s="35"/>
      <c r="B332" s="58"/>
      <c r="C332" s="58"/>
    </row>
    <row r="333">
      <c r="A333" s="35"/>
      <c r="B333" s="58"/>
      <c r="C333" s="58"/>
    </row>
    <row r="334">
      <c r="A334" s="35"/>
      <c r="B334" s="58"/>
      <c r="C334" s="58"/>
    </row>
    <row r="335">
      <c r="A335" s="35"/>
      <c r="B335" s="58"/>
      <c r="C335" s="58"/>
    </row>
    <row r="336">
      <c r="A336" s="35"/>
      <c r="B336" s="58"/>
      <c r="C336" s="58"/>
    </row>
    <row r="337">
      <c r="A337" s="35"/>
      <c r="B337" s="58"/>
      <c r="C337" s="58"/>
    </row>
    <row r="338">
      <c r="A338" s="35"/>
      <c r="B338" s="58"/>
      <c r="C338" s="58"/>
    </row>
    <row r="339">
      <c r="A339" s="35"/>
      <c r="B339" s="58"/>
      <c r="C339" s="58"/>
    </row>
    <row r="340">
      <c r="A340" s="35"/>
      <c r="B340" s="58"/>
      <c r="C340" s="58"/>
    </row>
    <row r="341">
      <c r="A341" s="35"/>
      <c r="B341" s="58"/>
      <c r="C341" s="58"/>
    </row>
    <row r="342">
      <c r="A342" s="35"/>
      <c r="B342" s="58"/>
      <c r="C342" s="58"/>
    </row>
    <row r="343">
      <c r="A343" s="35"/>
      <c r="B343" s="58"/>
      <c r="C343" s="58"/>
    </row>
    <row r="344">
      <c r="A344" s="35"/>
      <c r="B344" s="58"/>
      <c r="C344" s="58"/>
    </row>
    <row r="345">
      <c r="A345" s="35"/>
      <c r="B345" s="58"/>
      <c r="C345" s="58"/>
    </row>
    <row r="346">
      <c r="A346" s="35"/>
      <c r="B346" s="58"/>
      <c r="C346" s="58"/>
    </row>
    <row r="347">
      <c r="A347" s="35"/>
      <c r="B347" s="58"/>
      <c r="C347" s="58"/>
    </row>
    <row r="348">
      <c r="A348" s="35"/>
      <c r="B348" s="58"/>
      <c r="C348" s="58"/>
    </row>
    <row r="349">
      <c r="A349" s="35"/>
      <c r="B349" s="58"/>
      <c r="C349" s="58"/>
    </row>
    <row r="350">
      <c r="A350" s="35"/>
      <c r="B350" s="58"/>
      <c r="C350" s="58"/>
    </row>
    <row r="351">
      <c r="A351" s="35"/>
      <c r="B351" s="58"/>
      <c r="C351" s="58"/>
    </row>
    <row r="352">
      <c r="A352" s="35"/>
      <c r="B352" s="58"/>
      <c r="C352" s="58"/>
    </row>
    <row r="353">
      <c r="A353" s="35"/>
      <c r="B353" s="58"/>
      <c r="C353" s="58"/>
    </row>
    <row r="354">
      <c r="A354" s="35"/>
      <c r="B354" s="58"/>
      <c r="C354" s="58"/>
    </row>
    <row r="355">
      <c r="A355" s="35"/>
      <c r="B355" s="58"/>
      <c r="C355" s="58"/>
    </row>
    <row r="356">
      <c r="A356" s="35"/>
      <c r="B356" s="58"/>
      <c r="C356" s="58"/>
    </row>
    <row r="357">
      <c r="A357" s="35"/>
      <c r="B357" s="58"/>
      <c r="C357" s="58"/>
    </row>
    <row r="358">
      <c r="A358" s="35"/>
      <c r="B358" s="58"/>
      <c r="C358" s="58"/>
    </row>
    <row r="359">
      <c r="A359" s="35"/>
      <c r="B359" s="58"/>
      <c r="C359" s="58"/>
    </row>
    <row r="360">
      <c r="A360" s="35"/>
      <c r="B360" s="58"/>
      <c r="C360" s="58"/>
    </row>
    <row r="361">
      <c r="A361" s="35"/>
      <c r="B361" s="58"/>
      <c r="C361" s="58"/>
    </row>
    <row r="362">
      <c r="A362" s="35"/>
      <c r="B362" s="58"/>
      <c r="C362" s="58"/>
    </row>
    <row r="363">
      <c r="A363" s="35"/>
      <c r="B363" s="58"/>
      <c r="C363" s="58"/>
    </row>
    <row r="364">
      <c r="A364" s="35"/>
      <c r="B364" s="58"/>
      <c r="C364" s="58"/>
    </row>
    <row r="365">
      <c r="A365" s="35"/>
      <c r="B365" s="58"/>
      <c r="C365" s="58"/>
    </row>
    <row r="366">
      <c r="A366" s="35"/>
      <c r="B366" s="58"/>
      <c r="C366" s="58"/>
    </row>
    <row r="367">
      <c r="A367" s="35"/>
      <c r="B367" s="58"/>
      <c r="C367" s="58"/>
    </row>
    <row r="368">
      <c r="A368" s="35"/>
      <c r="B368" s="58"/>
      <c r="C368" s="58"/>
    </row>
    <row r="369">
      <c r="A369" s="35"/>
      <c r="B369" s="58"/>
      <c r="C369" s="58"/>
    </row>
    <row r="370">
      <c r="A370" s="35"/>
      <c r="B370" s="58"/>
      <c r="C370" s="58"/>
    </row>
    <row r="371">
      <c r="A371" s="35"/>
      <c r="B371" s="58"/>
      <c r="C371" s="58"/>
    </row>
    <row r="372">
      <c r="A372" s="35"/>
      <c r="B372" s="58"/>
      <c r="C372" s="58"/>
    </row>
    <row r="373">
      <c r="A373" s="35"/>
      <c r="B373" s="58"/>
      <c r="C373" s="58"/>
    </row>
    <row r="374">
      <c r="A374" s="35"/>
      <c r="B374" s="58"/>
      <c r="C374" s="58"/>
    </row>
    <row r="375">
      <c r="A375" s="35"/>
      <c r="B375" s="58"/>
      <c r="C375" s="58"/>
    </row>
    <row r="376">
      <c r="A376" s="35"/>
      <c r="B376" s="58"/>
      <c r="C376" s="58"/>
    </row>
    <row r="377">
      <c r="A377" s="35"/>
      <c r="B377" s="58"/>
      <c r="C377" s="58"/>
    </row>
    <row r="378">
      <c r="A378" s="35"/>
      <c r="B378" s="58"/>
      <c r="C378" s="58"/>
    </row>
    <row r="379">
      <c r="A379" s="35"/>
      <c r="B379" s="58"/>
      <c r="C379" s="58"/>
    </row>
    <row r="380">
      <c r="A380" s="35"/>
      <c r="B380" s="70"/>
      <c r="C380" s="70"/>
    </row>
    <row r="381">
      <c r="B381" s="42"/>
      <c r="C381" s="42"/>
    </row>
    <row r="382">
      <c r="B382" s="42"/>
      <c r="C382" s="42"/>
    </row>
    <row r="383">
      <c r="B383" s="42"/>
      <c r="C383" s="42"/>
    </row>
    <row r="384">
      <c r="B384" s="42"/>
      <c r="C384" s="42"/>
    </row>
    <row r="385">
      <c r="B385" s="42"/>
      <c r="C385" s="42"/>
    </row>
    <row r="386">
      <c r="B386" s="42"/>
      <c r="C386" s="42"/>
    </row>
    <row r="387">
      <c r="B387" s="42"/>
      <c r="C387" s="42"/>
    </row>
    <row r="388">
      <c r="B388" s="42"/>
      <c r="C388" s="42"/>
    </row>
    <row r="389">
      <c r="B389" s="42"/>
      <c r="C389" s="42"/>
    </row>
    <row r="390">
      <c r="B390" s="42"/>
      <c r="C390" s="42"/>
    </row>
    <row r="391">
      <c r="B391" s="42"/>
      <c r="C391" s="42"/>
    </row>
    <row r="392">
      <c r="B392" s="42"/>
      <c r="C392" s="42"/>
    </row>
    <row r="393">
      <c r="B393" s="42"/>
      <c r="C393" s="42"/>
    </row>
    <row r="394">
      <c r="B394" s="42"/>
      <c r="C394" s="42"/>
    </row>
    <row r="395">
      <c r="B395" s="42"/>
      <c r="C395" s="42"/>
    </row>
    <row r="396">
      <c r="B396" s="42"/>
      <c r="C396" s="42"/>
    </row>
    <row r="397">
      <c r="B397" s="42"/>
      <c r="C397" s="42"/>
    </row>
    <row r="398">
      <c r="B398" s="42"/>
      <c r="C398" s="42"/>
    </row>
    <row r="399">
      <c r="B399" s="42"/>
      <c r="C399" s="42"/>
    </row>
    <row r="400">
      <c r="B400" s="42"/>
      <c r="C400" s="42"/>
    </row>
    <row r="401">
      <c r="B401" s="42"/>
      <c r="C401" s="42"/>
    </row>
    <row r="402">
      <c r="B402" s="42"/>
      <c r="C402" s="42"/>
    </row>
    <row r="403">
      <c r="B403" s="42"/>
      <c r="C403" s="42"/>
    </row>
    <row r="404">
      <c r="B404" s="42"/>
      <c r="C404" s="42"/>
    </row>
    <row r="405">
      <c r="B405" s="42"/>
      <c r="C405" s="42"/>
    </row>
    <row r="406">
      <c r="B406" s="42"/>
      <c r="C406" s="42"/>
    </row>
    <row r="407">
      <c r="B407" s="42"/>
      <c r="C407" s="42"/>
    </row>
    <row r="408">
      <c r="B408" s="42"/>
      <c r="C408" s="42"/>
    </row>
    <row r="409">
      <c r="B409" s="42"/>
      <c r="C409" s="42"/>
    </row>
    <row r="410">
      <c r="B410" s="42"/>
      <c r="C410" s="42"/>
    </row>
    <row r="411">
      <c r="B411" s="42"/>
      <c r="C411" s="42"/>
    </row>
    <row r="412">
      <c r="B412" s="42"/>
      <c r="C412" s="42"/>
    </row>
    <row r="413">
      <c r="B413" s="42"/>
      <c r="C413" s="42"/>
    </row>
    <row r="414">
      <c r="B414" s="42"/>
      <c r="C414" s="42"/>
    </row>
    <row r="415">
      <c r="B415" s="42"/>
      <c r="C415" s="42"/>
    </row>
    <row r="416">
      <c r="B416" s="42"/>
      <c r="C416" s="42"/>
    </row>
    <row r="417">
      <c r="B417" s="42"/>
      <c r="C417" s="42"/>
    </row>
    <row r="418">
      <c r="B418" s="42"/>
      <c r="C418" s="42"/>
    </row>
    <row r="419">
      <c r="B419" s="42"/>
      <c r="C419" s="42"/>
    </row>
    <row r="420">
      <c r="B420" s="42"/>
      <c r="C420" s="42"/>
    </row>
    <row r="421">
      <c r="B421" s="42"/>
      <c r="C421" s="42"/>
    </row>
    <row r="422">
      <c r="B422" s="42"/>
      <c r="C422" s="42"/>
    </row>
    <row r="423">
      <c r="B423" s="42"/>
      <c r="C423" s="42"/>
    </row>
    <row r="424">
      <c r="B424" s="42"/>
      <c r="C424" s="42"/>
    </row>
    <row r="425">
      <c r="B425" s="42"/>
      <c r="C425" s="42"/>
    </row>
    <row r="426">
      <c r="B426" s="42"/>
      <c r="C426" s="42"/>
    </row>
    <row r="427">
      <c r="B427" s="42"/>
      <c r="C427" s="42"/>
    </row>
    <row r="428">
      <c r="B428" s="42"/>
      <c r="C428" s="42"/>
    </row>
    <row r="429">
      <c r="B429" s="42"/>
      <c r="C429" s="42"/>
    </row>
    <row r="430">
      <c r="B430" s="42"/>
      <c r="C430" s="42"/>
    </row>
    <row r="431">
      <c r="B431" s="42"/>
      <c r="C431" s="42"/>
    </row>
    <row r="432">
      <c r="B432" s="42"/>
      <c r="C432" s="42"/>
    </row>
    <row r="433">
      <c r="B433" s="42"/>
      <c r="C433" s="42"/>
    </row>
    <row r="434">
      <c r="B434" s="42"/>
      <c r="C434" s="42"/>
    </row>
    <row r="435">
      <c r="B435" s="42"/>
      <c r="C435" s="42"/>
    </row>
    <row r="436">
      <c r="B436" s="42"/>
      <c r="C436" s="42"/>
    </row>
    <row r="437">
      <c r="B437" s="42"/>
      <c r="C437" s="42"/>
    </row>
    <row r="438">
      <c r="B438" s="42"/>
      <c r="C438" s="42"/>
    </row>
    <row r="439">
      <c r="B439" s="42"/>
      <c r="C439" s="42"/>
    </row>
    <row r="440">
      <c r="B440" s="42"/>
      <c r="C440" s="42"/>
    </row>
    <row r="441">
      <c r="B441" s="42"/>
      <c r="C441" s="42"/>
    </row>
    <row r="442">
      <c r="B442" s="42"/>
      <c r="C442" s="42"/>
    </row>
    <row r="443">
      <c r="B443" s="42"/>
      <c r="C443" s="42"/>
    </row>
    <row r="444">
      <c r="B444" s="42"/>
      <c r="C444" s="42"/>
    </row>
    <row r="445">
      <c r="B445" s="42"/>
      <c r="C445" s="42"/>
    </row>
    <row r="446">
      <c r="B446" s="42"/>
      <c r="C446" s="42"/>
    </row>
    <row r="447">
      <c r="B447" s="42"/>
      <c r="C447" s="42"/>
    </row>
    <row r="448">
      <c r="B448" s="42"/>
      <c r="C448" s="42"/>
    </row>
    <row r="449">
      <c r="B449" s="42"/>
      <c r="C449" s="42"/>
    </row>
    <row r="450">
      <c r="B450" s="42"/>
      <c r="C450" s="42"/>
    </row>
    <row r="451">
      <c r="B451" s="42"/>
      <c r="C451" s="42"/>
    </row>
    <row r="452">
      <c r="B452" s="42"/>
      <c r="C452" s="42"/>
    </row>
    <row r="453">
      <c r="B453" s="42"/>
      <c r="C453" s="42"/>
    </row>
    <row r="454">
      <c r="B454" s="42"/>
      <c r="C454" s="42"/>
    </row>
    <row r="455">
      <c r="B455" s="42"/>
      <c r="C455" s="42"/>
    </row>
    <row r="456">
      <c r="B456" s="42"/>
      <c r="C456" s="42"/>
    </row>
    <row r="457">
      <c r="B457" s="42"/>
      <c r="C457" s="42"/>
    </row>
    <row r="458">
      <c r="B458" s="42"/>
      <c r="C458" s="42"/>
    </row>
    <row r="459">
      <c r="B459" s="42"/>
      <c r="C459" s="42"/>
    </row>
    <row r="460">
      <c r="B460" s="42"/>
      <c r="C460" s="42"/>
    </row>
    <row r="461">
      <c r="B461" s="42"/>
      <c r="C461" s="42"/>
    </row>
    <row r="462">
      <c r="B462" s="42"/>
      <c r="C462" s="42"/>
    </row>
    <row r="463">
      <c r="B463" s="42"/>
      <c r="C463" s="42"/>
    </row>
    <row r="464">
      <c r="B464" s="42"/>
      <c r="C464" s="42"/>
    </row>
    <row r="465">
      <c r="B465" s="42"/>
      <c r="C465" s="42"/>
    </row>
    <row r="466">
      <c r="B466" s="42"/>
      <c r="C466" s="42"/>
    </row>
    <row r="467">
      <c r="B467" s="42"/>
      <c r="C467" s="42"/>
    </row>
    <row r="468">
      <c r="B468" s="42"/>
      <c r="C468" s="42"/>
    </row>
    <row r="469">
      <c r="B469" s="42"/>
      <c r="C469" s="42"/>
    </row>
    <row r="470">
      <c r="B470" s="42"/>
      <c r="C470" s="42"/>
    </row>
    <row r="471">
      <c r="B471" s="42"/>
      <c r="C471" s="42"/>
    </row>
    <row r="472">
      <c r="B472" s="42"/>
      <c r="C472" s="42"/>
    </row>
    <row r="473">
      <c r="B473" s="42"/>
      <c r="C473" s="42"/>
    </row>
    <row r="474">
      <c r="B474" s="42"/>
      <c r="C474" s="42"/>
    </row>
    <row r="475">
      <c r="B475" s="42"/>
      <c r="C475" s="42"/>
    </row>
    <row r="476">
      <c r="B476" s="42"/>
      <c r="C476" s="42"/>
    </row>
    <row r="477">
      <c r="B477" s="42"/>
      <c r="C477" s="42"/>
    </row>
    <row r="478">
      <c r="B478" s="42"/>
      <c r="C478" s="42"/>
    </row>
    <row r="479">
      <c r="B479" s="42"/>
      <c r="C479" s="42"/>
    </row>
    <row r="480">
      <c r="B480" s="42"/>
      <c r="C480" s="42"/>
    </row>
    <row r="481">
      <c r="B481" s="42"/>
      <c r="C481" s="42"/>
    </row>
    <row r="482">
      <c r="B482" s="42"/>
      <c r="C482" s="42"/>
    </row>
    <row r="483">
      <c r="B483" s="42"/>
      <c r="C483" s="42"/>
    </row>
    <row r="484">
      <c r="B484" s="42"/>
      <c r="C484" s="42"/>
    </row>
    <row r="485">
      <c r="B485" s="42"/>
      <c r="C485" s="42"/>
    </row>
    <row r="486">
      <c r="B486" s="42"/>
      <c r="C486" s="42"/>
    </row>
    <row r="487">
      <c r="B487" s="42"/>
      <c r="C487" s="42"/>
    </row>
    <row r="488">
      <c r="B488" s="42"/>
      <c r="C488" s="42"/>
    </row>
    <row r="489">
      <c r="B489" s="42"/>
      <c r="C489" s="42"/>
    </row>
    <row r="490">
      <c r="B490" s="42"/>
      <c r="C490" s="42"/>
    </row>
    <row r="491">
      <c r="B491" s="42"/>
      <c r="C491" s="42"/>
    </row>
    <row r="492">
      <c r="B492" s="42"/>
      <c r="C492" s="42"/>
    </row>
    <row r="493">
      <c r="B493" s="42"/>
      <c r="C493" s="42"/>
    </row>
    <row r="494">
      <c r="B494" s="42"/>
      <c r="C494" s="42"/>
    </row>
    <row r="495">
      <c r="B495" s="42"/>
      <c r="C495" s="42"/>
    </row>
    <row r="496">
      <c r="B496" s="42"/>
      <c r="C496" s="42"/>
    </row>
    <row r="497">
      <c r="B497" s="42"/>
      <c r="C497" s="42"/>
    </row>
    <row r="498">
      <c r="B498" s="42"/>
      <c r="C498" s="42"/>
    </row>
    <row r="499">
      <c r="B499" s="42"/>
      <c r="C499" s="42"/>
    </row>
    <row r="500">
      <c r="B500" s="42"/>
      <c r="C500" s="42"/>
    </row>
    <row r="501">
      <c r="B501" s="42"/>
      <c r="C501" s="42"/>
    </row>
    <row r="502">
      <c r="B502" s="42"/>
      <c r="C502" s="42"/>
    </row>
    <row r="503">
      <c r="B503" s="42"/>
      <c r="C503" s="42"/>
    </row>
    <row r="504">
      <c r="B504" s="42"/>
      <c r="C504" s="42"/>
    </row>
    <row r="505">
      <c r="B505" s="42"/>
      <c r="C505" s="42"/>
    </row>
    <row r="506">
      <c r="B506" s="42"/>
      <c r="C506" s="42"/>
    </row>
    <row r="507">
      <c r="B507" s="42"/>
      <c r="C507" s="42"/>
    </row>
    <row r="508">
      <c r="B508" s="42"/>
      <c r="C508" s="42"/>
    </row>
    <row r="509">
      <c r="B509" s="42"/>
      <c r="C509" s="42"/>
    </row>
    <row r="510">
      <c r="B510" s="42"/>
      <c r="C510" s="42"/>
    </row>
    <row r="511">
      <c r="B511" s="42"/>
      <c r="C511" s="42"/>
    </row>
    <row r="512">
      <c r="B512" s="42"/>
      <c r="C512" s="42"/>
    </row>
    <row r="513">
      <c r="B513" s="42"/>
      <c r="C513" s="42"/>
    </row>
    <row r="514">
      <c r="B514" s="42"/>
      <c r="C514" s="42"/>
    </row>
    <row r="515">
      <c r="B515" s="42"/>
      <c r="C515" s="42"/>
    </row>
    <row r="516">
      <c r="B516" s="42"/>
      <c r="C516" s="42"/>
    </row>
    <row r="517">
      <c r="B517" s="42"/>
      <c r="C517" s="42"/>
    </row>
    <row r="518">
      <c r="B518" s="42"/>
      <c r="C518" s="42"/>
    </row>
    <row r="519">
      <c r="B519" s="42"/>
      <c r="C519" s="42"/>
    </row>
    <row r="520">
      <c r="B520" s="42"/>
      <c r="C520" s="42"/>
    </row>
    <row r="521">
      <c r="B521" s="42"/>
      <c r="C521" s="42"/>
    </row>
    <row r="522">
      <c r="B522" s="42"/>
      <c r="C522" s="42"/>
    </row>
    <row r="523">
      <c r="B523" s="42"/>
      <c r="C523" s="42"/>
    </row>
    <row r="524">
      <c r="B524" s="42"/>
      <c r="C524" s="42"/>
    </row>
    <row r="525">
      <c r="B525" s="42"/>
      <c r="C525" s="42"/>
    </row>
    <row r="526">
      <c r="B526" s="42"/>
      <c r="C526" s="42"/>
    </row>
    <row r="527">
      <c r="B527" s="42"/>
      <c r="C527" s="42"/>
    </row>
    <row r="528">
      <c r="B528" s="42"/>
      <c r="C528" s="42"/>
    </row>
    <row r="529">
      <c r="B529" s="42"/>
      <c r="C529" s="42"/>
    </row>
    <row r="530">
      <c r="B530" s="42"/>
      <c r="C530" s="42"/>
    </row>
    <row r="531">
      <c r="B531" s="42"/>
      <c r="C531" s="42"/>
    </row>
    <row r="532">
      <c r="B532" s="42"/>
      <c r="C532" s="42"/>
    </row>
    <row r="533">
      <c r="B533" s="42"/>
      <c r="C533" s="42"/>
    </row>
    <row r="534">
      <c r="B534" s="42"/>
      <c r="C534" s="42"/>
    </row>
    <row r="535">
      <c r="B535" s="42"/>
      <c r="C535" s="42"/>
    </row>
    <row r="536">
      <c r="B536" s="42"/>
      <c r="C536" s="42"/>
    </row>
    <row r="537">
      <c r="B537" s="42"/>
      <c r="C537" s="42"/>
    </row>
    <row r="538">
      <c r="B538" s="42"/>
      <c r="C538" s="42"/>
    </row>
    <row r="539">
      <c r="B539" s="42"/>
      <c r="C539" s="42"/>
    </row>
    <row r="540">
      <c r="B540" s="42"/>
      <c r="C540" s="42"/>
    </row>
    <row r="541">
      <c r="B541" s="42"/>
      <c r="C541" s="42"/>
    </row>
    <row r="542">
      <c r="B542" s="42"/>
      <c r="C542" s="42"/>
    </row>
    <row r="543">
      <c r="B543" s="42"/>
      <c r="C543" s="42"/>
    </row>
    <row r="544">
      <c r="B544" s="42"/>
      <c r="C544" s="42"/>
    </row>
    <row r="545">
      <c r="B545" s="42"/>
      <c r="C545" s="42"/>
    </row>
    <row r="546">
      <c r="B546" s="42"/>
      <c r="C546" s="42"/>
    </row>
    <row r="547">
      <c r="B547" s="42"/>
      <c r="C547" s="42"/>
    </row>
    <row r="548">
      <c r="B548" s="42"/>
      <c r="C548" s="42"/>
    </row>
    <row r="549">
      <c r="B549" s="42"/>
      <c r="C549" s="42"/>
    </row>
    <row r="550">
      <c r="B550" s="42"/>
      <c r="C550" s="42"/>
    </row>
    <row r="551">
      <c r="B551" s="42"/>
      <c r="C551" s="42"/>
    </row>
    <row r="552">
      <c r="B552" s="42"/>
      <c r="C552" s="42"/>
    </row>
    <row r="553">
      <c r="B553" s="42"/>
      <c r="C553" s="42"/>
    </row>
    <row r="554">
      <c r="B554" s="42"/>
      <c r="C554" s="42"/>
    </row>
    <row r="555">
      <c r="B555" s="42"/>
      <c r="C555" s="42"/>
    </row>
    <row r="556">
      <c r="B556" s="42"/>
      <c r="C556" s="42"/>
    </row>
    <row r="557">
      <c r="B557" s="42"/>
      <c r="C557" s="42"/>
    </row>
    <row r="558">
      <c r="B558" s="42"/>
      <c r="C558" s="42"/>
    </row>
    <row r="559">
      <c r="B559" s="42"/>
      <c r="C559" s="42"/>
    </row>
    <row r="560">
      <c r="B560" s="42"/>
      <c r="C560" s="42"/>
    </row>
    <row r="561">
      <c r="B561" s="42"/>
      <c r="C561" s="42"/>
    </row>
    <row r="562">
      <c r="B562" s="42"/>
      <c r="C562" s="42"/>
    </row>
    <row r="563">
      <c r="B563" s="42"/>
      <c r="C563" s="42"/>
    </row>
    <row r="564">
      <c r="B564" s="42"/>
      <c r="C564" s="42"/>
    </row>
    <row r="565">
      <c r="B565" s="42"/>
      <c r="C565" s="42"/>
    </row>
    <row r="566">
      <c r="B566" s="42"/>
      <c r="C566" s="42"/>
    </row>
    <row r="567">
      <c r="B567" s="42"/>
      <c r="C567" s="42"/>
    </row>
    <row r="568">
      <c r="B568" s="42"/>
      <c r="C568" s="42"/>
    </row>
    <row r="569">
      <c r="B569" s="42"/>
      <c r="C569" s="42"/>
    </row>
    <row r="570">
      <c r="B570" s="42"/>
      <c r="C570" s="42"/>
    </row>
    <row r="571">
      <c r="B571" s="42"/>
      <c r="C571" s="42"/>
    </row>
    <row r="572">
      <c r="B572" s="42"/>
      <c r="C572" s="42"/>
    </row>
    <row r="573">
      <c r="B573" s="42"/>
      <c r="C573" s="42"/>
    </row>
    <row r="574">
      <c r="B574" s="42"/>
      <c r="C574" s="42"/>
    </row>
    <row r="575">
      <c r="B575" s="42"/>
      <c r="C575" s="42"/>
    </row>
    <row r="576">
      <c r="B576" s="42"/>
      <c r="C576" s="42"/>
    </row>
    <row r="577">
      <c r="B577" s="42"/>
      <c r="C577" s="42"/>
    </row>
    <row r="578">
      <c r="B578" s="42"/>
      <c r="C578" s="42"/>
    </row>
    <row r="579">
      <c r="B579" s="42"/>
      <c r="C579" s="42"/>
    </row>
    <row r="580">
      <c r="B580" s="42"/>
      <c r="C580" s="42"/>
    </row>
    <row r="581">
      <c r="B581" s="42"/>
      <c r="C581" s="42"/>
    </row>
    <row r="582">
      <c r="B582" s="42"/>
      <c r="C582" s="42"/>
    </row>
    <row r="583">
      <c r="B583" s="42"/>
      <c r="C583" s="42"/>
    </row>
    <row r="584">
      <c r="B584" s="42"/>
      <c r="C584" s="42"/>
    </row>
    <row r="585">
      <c r="B585" s="42"/>
      <c r="C585" s="42"/>
    </row>
    <row r="586">
      <c r="B586" s="42"/>
      <c r="C586" s="42"/>
    </row>
    <row r="587">
      <c r="B587" s="42"/>
      <c r="C587" s="42"/>
    </row>
    <row r="588">
      <c r="B588" s="42"/>
      <c r="C588" s="42"/>
    </row>
    <row r="589">
      <c r="B589" s="42"/>
      <c r="C589" s="42"/>
    </row>
    <row r="590">
      <c r="B590" s="42"/>
      <c r="C590" s="42"/>
    </row>
    <row r="591">
      <c r="B591" s="42"/>
      <c r="C591" s="42"/>
    </row>
    <row r="592">
      <c r="B592" s="42"/>
      <c r="C592" s="42"/>
    </row>
    <row r="593">
      <c r="B593" s="42"/>
      <c r="C593" s="42"/>
    </row>
    <row r="594">
      <c r="B594" s="42"/>
      <c r="C594" s="42"/>
    </row>
    <row r="595">
      <c r="B595" s="42"/>
      <c r="C595" s="42"/>
    </row>
    <row r="596">
      <c r="B596" s="42"/>
      <c r="C596" s="42"/>
    </row>
    <row r="597">
      <c r="B597" s="42"/>
      <c r="C597" s="42"/>
    </row>
    <row r="598">
      <c r="B598" s="42"/>
      <c r="C598" s="42"/>
    </row>
    <row r="599">
      <c r="B599" s="42"/>
      <c r="C599" s="42"/>
    </row>
    <row r="600">
      <c r="B600" s="42"/>
      <c r="C600" s="42"/>
    </row>
    <row r="601">
      <c r="B601" s="42"/>
      <c r="C601" s="42"/>
    </row>
    <row r="602">
      <c r="B602" s="42"/>
      <c r="C602" s="42"/>
    </row>
    <row r="603">
      <c r="B603" s="42"/>
      <c r="C603" s="42"/>
    </row>
    <row r="604">
      <c r="B604" s="42"/>
      <c r="C604" s="42"/>
    </row>
    <row r="605">
      <c r="B605" s="42"/>
      <c r="C605" s="42"/>
    </row>
    <row r="606">
      <c r="B606" s="42"/>
      <c r="C606" s="42"/>
    </row>
    <row r="607">
      <c r="B607" s="42"/>
      <c r="C607" s="42"/>
    </row>
    <row r="608">
      <c r="B608" s="42"/>
      <c r="C608" s="42"/>
    </row>
    <row r="609">
      <c r="B609" s="42"/>
      <c r="C609" s="42"/>
    </row>
    <row r="610">
      <c r="B610" s="42"/>
      <c r="C610" s="42"/>
    </row>
    <row r="611">
      <c r="B611" s="42"/>
      <c r="C611" s="42"/>
    </row>
    <row r="612">
      <c r="B612" s="42"/>
      <c r="C612" s="42"/>
    </row>
    <row r="613">
      <c r="B613" s="42"/>
      <c r="C613" s="42"/>
    </row>
    <row r="614">
      <c r="B614" s="42"/>
      <c r="C614" s="42"/>
    </row>
    <row r="615">
      <c r="B615" s="42"/>
      <c r="C615" s="42"/>
    </row>
    <row r="616">
      <c r="B616" s="42"/>
      <c r="C616" s="42"/>
    </row>
    <row r="617">
      <c r="B617" s="42"/>
      <c r="C617" s="42"/>
    </row>
    <row r="618">
      <c r="B618" s="42"/>
      <c r="C618" s="42"/>
    </row>
    <row r="619">
      <c r="B619" s="42"/>
      <c r="C619" s="42"/>
    </row>
    <row r="620">
      <c r="B620" s="42"/>
      <c r="C620" s="42"/>
    </row>
    <row r="621">
      <c r="B621" s="42"/>
      <c r="C621" s="42"/>
    </row>
    <row r="622">
      <c r="B622" s="42"/>
      <c r="C622" s="42"/>
    </row>
    <row r="623">
      <c r="B623" s="42"/>
      <c r="C623" s="42"/>
    </row>
    <row r="624">
      <c r="B624" s="42"/>
      <c r="C624" s="42"/>
    </row>
    <row r="625">
      <c r="B625" s="42"/>
      <c r="C625" s="42"/>
    </row>
    <row r="626">
      <c r="B626" s="42"/>
      <c r="C626" s="42"/>
    </row>
    <row r="627">
      <c r="B627" s="42"/>
      <c r="C627" s="42"/>
    </row>
    <row r="628">
      <c r="B628" s="42"/>
      <c r="C628" s="42"/>
    </row>
    <row r="629">
      <c r="B629" s="42"/>
      <c r="C629" s="42"/>
    </row>
    <row r="630">
      <c r="B630" s="42"/>
      <c r="C630" s="42"/>
    </row>
    <row r="631">
      <c r="B631" s="42"/>
      <c r="C631" s="42"/>
    </row>
    <row r="632">
      <c r="B632" s="42"/>
      <c r="C632" s="42"/>
    </row>
    <row r="633">
      <c r="B633" s="42"/>
      <c r="C633" s="42"/>
    </row>
    <row r="634">
      <c r="B634" s="42"/>
      <c r="C634" s="42"/>
    </row>
    <row r="635">
      <c r="B635" s="42"/>
      <c r="C635" s="42"/>
    </row>
    <row r="636">
      <c r="B636" s="42"/>
      <c r="C636" s="42"/>
    </row>
    <row r="637">
      <c r="B637" s="42"/>
      <c r="C637" s="42"/>
    </row>
    <row r="638">
      <c r="B638" s="42"/>
      <c r="C638" s="42"/>
    </row>
    <row r="639">
      <c r="B639" s="42"/>
      <c r="C639" s="42"/>
    </row>
    <row r="640">
      <c r="B640" s="42"/>
      <c r="C640" s="42"/>
    </row>
    <row r="641">
      <c r="B641" s="42"/>
      <c r="C641" s="42"/>
    </row>
    <row r="642">
      <c r="B642" s="42"/>
      <c r="C642" s="42"/>
    </row>
    <row r="643">
      <c r="B643" s="42"/>
      <c r="C643" s="42"/>
    </row>
    <row r="644">
      <c r="B644" s="42"/>
      <c r="C644" s="42"/>
    </row>
    <row r="645">
      <c r="B645" s="42"/>
      <c r="C645" s="42"/>
    </row>
    <row r="646">
      <c r="B646" s="42"/>
      <c r="C646" s="42"/>
    </row>
    <row r="647">
      <c r="B647" s="42"/>
      <c r="C647" s="42"/>
    </row>
    <row r="648">
      <c r="B648" s="42"/>
      <c r="C648" s="42"/>
    </row>
    <row r="649">
      <c r="B649" s="42"/>
      <c r="C649" s="42"/>
    </row>
    <row r="650">
      <c r="B650" s="42"/>
      <c r="C650" s="42"/>
    </row>
    <row r="651">
      <c r="B651" s="42"/>
      <c r="C651" s="42"/>
    </row>
    <row r="652">
      <c r="B652" s="42"/>
      <c r="C652" s="42"/>
    </row>
    <row r="653">
      <c r="B653" s="42"/>
      <c r="C653" s="42"/>
    </row>
    <row r="654">
      <c r="B654" s="42"/>
      <c r="C654" s="42"/>
    </row>
    <row r="655">
      <c r="B655" s="42"/>
      <c r="C655" s="42"/>
    </row>
    <row r="656">
      <c r="B656" s="42"/>
      <c r="C656" s="42"/>
    </row>
    <row r="657">
      <c r="B657" s="42"/>
      <c r="C657" s="42"/>
    </row>
    <row r="658">
      <c r="B658" s="42"/>
      <c r="C658" s="42"/>
    </row>
    <row r="659">
      <c r="B659" s="42"/>
      <c r="C659" s="42"/>
    </row>
    <row r="660">
      <c r="B660" s="42"/>
      <c r="C660" s="42"/>
    </row>
    <row r="661">
      <c r="B661" s="42"/>
      <c r="C661" s="42"/>
    </row>
    <row r="662">
      <c r="B662" s="42"/>
      <c r="C662" s="42"/>
    </row>
    <row r="663">
      <c r="B663" s="42"/>
      <c r="C663" s="42"/>
    </row>
    <row r="664">
      <c r="B664" s="42"/>
      <c r="C664" s="42"/>
    </row>
    <row r="665">
      <c r="B665" s="42"/>
      <c r="C665" s="42"/>
    </row>
    <row r="666">
      <c r="B666" s="42"/>
      <c r="C666" s="42"/>
    </row>
    <row r="667">
      <c r="B667" s="42"/>
      <c r="C667" s="42"/>
    </row>
    <row r="668">
      <c r="B668" s="42"/>
      <c r="C668" s="42"/>
    </row>
    <row r="669">
      <c r="B669" s="42"/>
      <c r="C669" s="42"/>
    </row>
    <row r="670">
      <c r="B670" s="42"/>
      <c r="C670" s="42"/>
    </row>
    <row r="671">
      <c r="B671" s="42"/>
      <c r="C671" s="42"/>
    </row>
    <row r="672">
      <c r="B672" s="42"/>
      <c r="C672" s="42"/>
    </row>
    <row r="673">
      <c r="B673" s="42"/>
      <c r="C673" s="42"/>
    </row>
    <row r="674">
      <c r="B674" s="42"/>
      <c r="C674" s="42"/>
    </row>
    <row r="675">
      <c r="B675" s="42"/>
      <c r="C675" s="42"/>
    </row>
    <row r="676">
      <c r="B676" s="42"/>
      <c r="C676" s="42"/>
    </row>
    <row r="677">
      <c r="B677" s="42"/>
      <c r="C677" s="42"/>
    </row>
    <row r="678">
      <c r="B678" s="42"/>
      <c r="C678" s="42"/>
    </row>
    <row r="679">
      <c r="B679" s="42"/>
      <c r="C679" s="42"/>
    </row>
    <row r="680">
      <c r="B680" s="42"/>
      <c r="C680" s="42"/>
    </row>
    <row r="681">
      <c r="B681" s="42"/>
      <c r="C681" s="42"/>
    </row>
    <row r="682">
      <c r="B682" s="42"/>
      <c r="C682" s="42"/>
    </row>
    <row r="683">
      <c r="B683" s="42"/>
      <c r="C683" s="42"/>
    </row>
    <row r="684">
      <c r="B684" s="42"/>
      <c r="C684" s="42"/>
    </row>
    <row r="685">
      <c r="B685" s="42"/>
      <c r="C685" s="42"/>
    </row>
    <row r="686">
      <c r="B686" s="42"/>
      <c r="C686" s="42"/>
    </row>
    <row r="687">
      <c r="B687" s="42"/>
      <c r="C687" s="42"/>
    </row>
    <row r="688">
      <c r="B688" s="42"/>
      <c r="C688" s="42"/>
    </row>
    <row r="689">
      <c r="B689" s="42"/>
      <c r="C689" s="42"/>
    </row>
    <row r="690">
      <c r="B690" s="42"/>
      <c r="C690" s="42"/>
    </row>
    <row r="691">
      <c r="B691" s="42"/>
      <c r="C691" s="42"/>
    </row>
    <row r="692">
      <c r="B692" s="42"/>
      <c r="C692" s="42"/>
    </row>
    <row r="693">
      <c r="B693" s="42"/>
      <c r="C693" s="42"/>
    </row>
    <row r="694">
      <c r="B694" s="42"/>
      <c r="C694" s="42"/>
    </row>
    <row r="695">
      <c r="B695" s="42"/>
      <c r="C695" s="42"/>
    </row>
    <row r="696">
      <c r="B696" s="42"/>
      <c r="C696" s="42"/>
    </row>
    <row r="697">
      <c r="B697" s="42"/>
      <c r="C697" s="42"/>
    </row>
    <row r="698">
      <c r="B698" s="42"/>
      <c r="C698" s="42"/>
    </row>
    <row r="699">
      <c r="B699" s="42"/>
      <c r="C699" s="42"/>
    </row>
    <row r="700">
      <c r="B700" s="42"/>
      <c r="C700" s="42"/>
    </row>
    <row r="701">
      <c r="B701" s="42"/>
      <c r="C701" s="42"/>
    </row>
    <row r="702">
      <c r="B702" s="42"/>
      <c r="C702" s="42"/>
    </row>
    <row r="703">
      <c r="B703" s="42"/>
      <c r="C703" s="42"/>
    </row>
    <row r="704">
      <c r="B704" s="42"/>
      <c r="C704" s="42"/>
    </row>
    <row r="705">
      <c r="B705" s="42"/>
      <c r="C705" s="42"/>
    </row>
    <row r="706">
      <c r="B706" s="42"/>
      <c r="C706" s="42"/>
    </row>
    <row r="707">
      <c r="B707" s="42"/>
      <c r="C707" s="42"/>
    </row>
    <row r="708">
      <c r="B708" s="42"/>
      <c r="C708" s="42"/>
    </row>
    <row r="709">
      <c r="B709" s="42"/>
      <c r="C709" s="42"/>
    </row>
    <row r="710">
      <c r="B710" s="42"/>
      <c r="C710" s="42"/>
    </row>
    <row r="711">
      <c r="B711" s="42"/>
      <c r="C711" s="42"/>
    </row>
    <row r="712">
      <c r="B712" s="42"/>
      <c r="C712" s="42"/>
    </row>
    <row r="713">
      <c r="B713" s="42"/>
      <c r="C713" s="42"/>
    </row>
    <row r="714">
      <c r="B714" s="42"/>
      <c r="C714" s="42"/>
    </row>
    <row r="715">
      <c r="B715" s="42"/>
      <c r="C715" s="42"/>
    </row>
    <row r="716">
      <c r="B716" s="42"/>
      <c r="C716" s="42"/>
    </row>
    <row r="717">
      <c r="B717" s="42"/>
      <c r="C717" s="42"/>
    </row>
    <row r="718">
      <c r="B718" s="42"/>
      <c r="C718" s="42"/>
    </row>
    <row r="719">
      <c r="B719" s="42"/>
      <c r="C719" s="42"/>
    </row>
    <row r="720">
      <c r="B720" s="42"/>
      <c r="C720" s="42"/>
    </row>
    <row r="721">
      <c r="B721" s="42"/>
      <c r="C721" s="42"/>
    </row>
    <row r="722">
      <c r="B722" s="42"/>
      <c r="C722" s="42"/>
    </row>
    <row r="723">
      <c r="B723" s="42"/>
      <c r="C723" s="42"/>
    </row>
    <row r="724">
      <c r="B724" s="42"/>
      <c r="C724" s="42"/>
    </row>
    <row r="725">
      <c r="B725" s="42"/>
      <c r="C725" s="42"/>
    </row>
    <row r="726">
      <c r="B726" s="42"/>
      <c r="C726" s="42"/>
    </row>
    <row r="727">
      <c r="B727" s="42"/>
      <c r="C727" s="42"/>
    </row>
    <row r="728">
      <c r="B728" s="42"/>
      <c r="C728" s="42"/>
    </row>
    <row r="729">
      <c r="B729" s="42"/>
      <c r="C729" s="42"/>
    </row>
    <row r="730">
      <c r="B730" s="42"/>
      <c r="C730" s="42"/>
    </row>
    <row r="731">
      <c r="B731" s="42"/>
      <c r="C731" s="42"/>
    </row>
    <row r="732">
      <c r="B732" s="42"/>
      <c r="C732" s="42"/>
    </row>
    <row r="733">
      <c r="B733" s="42"/>
      <c r="C733" s="42"/>
    </row>
    <row r="734">
      <c r="B734" s="42"/>
      <c r="C734" s="42"/>
    </row>
    <row r="735">
      <c r="B735" s="42"/>
      <c r="C735" s="42"/>
    </row>
    <row r="736">
      <c r="B736" s="42"/>
      <c r="C736" s="42"/>
    </row>
    <row r="737">
      <c r="B737" s="42"/>
      <c r="C737" s="42"/>
    </row>
    <row r="738">
      <c r="B738" s="42"/>
      <c r="C738" s="42"/>
    </row>
    <row r="739">
      <c r="B739" s="42"/>
      <c r="C739" s="42"/>
    </row>
    <row r="740">
      <c r="B740" s="42"/>
      <c r="C740" s="42"/>
    </row>
    <row r="741">
      <c r="B741" s="42"/>
      <c r="C741" s="42"/>
    </row>
    <row r="742">
      <c r="B742" s="42"/>
      <c r="C742" s="42"/>
    </row>
    <row r="743">
      <c r="B743" s="42"/>
      <c r="C743" s="42"/>
    </row>
    <row r="744">
      <c r="B744" s="42"/>
      <c r="C744" s="42"/>
    </row>
    <row r="745">
      <c r="B745" s="42"/>
      <c r="C745" s="42"/>
    </row>
    <row r="746">
      <c r="B746" s="42"/>
      <c r="C746" s="42"/>
    </row>
    <row r="747">
      <c r="B747" s="42"/>
      <c r="C747" s="42"/>
    </row>
    <row r="748">
      <c r="B748" s="42"/>
      <c r="C748" s="42"/>
    </row>
    <row r="749">
      <c r="B749" s="42"/>
      <c r="C749" s="42"/>
    </row>
    <row r="750">
      <c r="B750" s="42"/>
      <c r="C750" s="42"/>
    </row>
    <row r="751">
      <c r="B751" s="42"/>
      <c r="C751" s="42"/>
    </row>
    <row r="752">
      <c r="B752" s="42"/>
      <c r="C752" s="42"/>
    </row>
    <row r="753">
      <c r="B753" s="42"/>
      <c r="C753" s="42"/>
    </row>
    <row r="754">
      <c r="B754" s="42"/>
      <c r="C754" s="42"/>
    </row>
    <row r="755">
      <c r="B755" s="42"/>
      <c r="C755" s="42"/>
    </row>
    <row r="756">
      <c r="B756" s="42"/>
      <c r="C756" s="42"/>
    </row>
    <row r="757">
      <c r="B757" s="42"/>
      <c r="C757" s="42"/>
    </row>
    <row r="758">
      <c r="B758" s="42"/>
      <c r="C758" s="42"/>
    </row>
    <row r="759">
      <c r="B759" s="42"/>
      <c r="C759" s="42"/>
    </row>
    <row r="760">
      <c r="B760" s="42"/>
      <c r="C760" s="42"/>
    </row>
    <row r="761">
      <c r="B761" s="42"/>
      <c r="C761" s="42"/>
    </row>
    <row r="762">
      <c r="B762" s="42"/>
      <c r="C762" s="42"/>
    </row>
    <row r="763">
      <c r="B763" s="42"/>
      <c r="C763" s="42"/>
    </row>
    <row r="764">
      <c r="B764" s="42"/>
      <c r="C764" s="42"/>
    </row>
    <row r="765">
      <c r="B765" s="42"/>
      <c r="C765" s="42"/>
    </row>
    <row r="766">
      <c r="B766" s="42"/>
      <c r="C766" s="42"/>
    </row>
    <row r="767">
      <c r="B767" s="42"/>
      <c r="C767" s="42"/>
    </row>
    <row r="768">
      <c r="B768" s="42"/>
      <c r="C768" s="42"/>
    </row>
    <row r="769">
      <c r="B769" s="42"/>
      <c r="C769" s="42"/>
    </row>
    <row r="770">
      <c r="B770" s="42"/>
      <c r="C770" s="42"/>
    </row>
    <row r="771">
      <c r="B771" s="42"/>
      <c r="C771" s="42"/>
    </row>
    <row r="772">
      <c r="B772" s="42"/>
      <c r="C772" s="42"/>
    </row>
    <row r="773">
      <c r="B773" s="42"/>
      <c r="C773" s="42"/>
    </row>
    <row r="774">
      <c r="B774" s="42"/>
      <c r="C774" s="42"/>
    </row>
    <row r="775">
      <c r="B775" s="42"/>
      <c r="C775" s="42"/>
    </row>
    <row r="776">
      <c r="B776" s="42"/>
      <c r="C776" s="42"/>
    </row>
    <row r="777">
      <c r="B777" s="42"/>
      <c r="C777" s="42"/>
    </row>
    <row r="778">
      <c r="B778" s="42"/>
      <c r="C778" s="42"/>
    </row>
    <row r="779">
      <c r="B779" s="42"/>
      <c r="C779" s="42"/>
    </row>
    <row r="780">
      <c r="B780" s="42"/>
      <c r="C780" s="42"/>
    </row>
    <row r="781">
      <c r="B781" s="42"/>
      <c r="C781" s="42"/>
    </row>
    <row r="782">
      <c r="B782" s="42"/>
      <c r="C782" s="42"/>
    </row>
    <row r="783">
      <c r="B783" s="42"/>
      <c r="C783" s="42"/>
    </row>
    <row r="784">
      <c r="B784" s="42"/>
      <c r="C784" s="42"/>
    </row>
    <row r="785">
      <c r="B785" s="42"/>
      <c r="C785" s="42"/>
    </row>
    <row r="786">
      <c r="B786" s="42"/>
      <c r="C786" s="42"/>
    </row>
    <row r="787">
      <c r="B787" s="42"/>
      <c r="C787" s="42"/>
    </row>
    <row r="788">
      <c r="B788" s="42"/>
      <c r="C788" s="42"/>
    </row>
    <row r="789">
      <c r="B789" s="42"/>
      <c r="C789" s="42"/>
    </row>
    <row r="790">
      <c r="B790" s="42"/>
      <c r="C790" s="42"/>
    </row>
    <row r="791">
      <c r="B791" s="42"/>
      <c r="C791" s="42"/>
    </row>
    <row r="792">
      <c r="B792" s="42"/>
      <c r="C792" s="42"/>
    </row>
    <row r="793">
      <c r="B793" s="42"/>
      <c r="C793" s="42"/>
    </row>
    <row r="794">
      <c r="B794" s="42"/>
      <c r="C794" s="42"/>
    </row>
    <row r="795">
      <c r="B795" s="42"/>
      <c r="C795" s="42"/>
    </row>
    <row r="796">
      <c r="B796" s="42"/>
      <c r="C796" s="42"/>
    </row>
    <row r="797">
      <c r="B797" s="42"/>
      <c r="C797" s="42"/>
    </row>
    <row r="798">
      <c r="B798" s="42"/>
      <c r="C798" s="42"/>
    </row>
    <row r="799">
      <c r="B799" s="42"/>
      <c r="C799" s="42"/>
    </row>
    <row r="800">
      <c r="B800" s="42"/>
      <c r="C800" s="42"/>
    </row>
    <row r="801">
      <c r="B801" s="42"/>
      <c r="C801" s="42"/>
    </row>
    <row r="802">
      <c r="B802" s="42"/>
      <c r="C802" s="42"/>
    </row>
    <row r="803">
      <c r="B803" s="42"/>
      <c r="C803" s="42"/>
    </row>
    <row r="804">
      <c r="B804" s="42"/>
      <c r="C804" s="42"/>
    </row>
    <row r="805">
      <c r="B805" s="42"/>
      <c r="C805" s="42"/>
    </row>
    <row r="806">
      <c r="B806" s="42"/>
      <c r="C806" s="42"/>
    </row>
    <row r="807">
      <c r="B807" s="42"/>
      <c r="C807" s="42"/>
    </row>
    <row r="808">
      <c r="B808" s="42"/>
      <c r="C808" s="42"/>
    </row>
    <row r="809">
      <c r="B809" s="42"/>
      <c r="C809" s="42"/>
    </row>
    <row r="810">
      <c r="B810" s="42"/>
      <c r="C810" s="42"/>
    </row>
    <row r="811">
      <c r="B811" s="42"/>
      <c r="C811" s="42"/>
    </row>
    <row r="812">
      <c r="B812" s="42"/>
      <c r="C812" s="42"/>
    </row>
    <row r="813">
      <c r="B813" s="42"/>
      <c r="C813" s="42"/>
    </row>
    <row r="814">
      <c r="B814" s="42"/>
      <c r="C814" s="42"/>
    </row>
    <row r="815">
      <c r="B815" s="42"/>
      <c r="C815" s="42"/>
    </row>
    <row r="816">
      <c r="B816" s="42"/>
      <c r="C816" s="42"/>
    </row>
    <row r="817">
      <c r="B817" s="42"/>
      <c r="C817" s="42"/>
    </row>
    <row r="818">
      <c r="B818" s="42"/>
      <c r="C818" s="42"/>
    </row>
    <row r="819">
      <c r="B819" s="42"/>
      <c r="C819" s="42"/>
    </row>
    <row r="820">
      <c r="B820" s="42"/>
      <c r="C820" s="42"/>
    </row>
    <row r="821">
      <c r="B821" s="42"/>
      <c r="C821" s="42"/>
    </row>
    <row r="822">
      <c r="B822" s="42"/>
      <c r="C822" s="42"/>
    </row>
    <row r="823">
      <c r="B823" s="42"/>
      <c r="C823" s="42"/>
    </row>
    <row r="824">
      <c r="B824" s="42"/>
      <c r="C824" s="42"/>
    </row>
    <row r="825">
      <c r="B825" s="42"/>
      <c r="C825" s="42"/>
    </row>
    <row r="826">
      <c r="B826" s="42"/>
      <c r="C826" s="42"/>
    </row>
    <row r="827">
      <c r="B827" s="42"/>
      <c r="C827" s="42"/>
    </row>
    <row r="828">
      <c r="B828" s="42"/>
      <c r="C828" s="42"/>
    </row>
    <row r="829">
      <c r="B829" s="42"/>
      <c r="C829" s="42"/>
    </row>
    <row r="830">
      <c r="B830" s="42"/>
      <c r="C830" s="42"/>
    </row>
    <row r="831">
      <c r="B831" s="42"/>
      <c r="C831" s="42"/>
    </row>
    <row r="832">
      <c r="B832" s="42"/>
      <c r="C832" s="42"/>
    </row>
    <row r="833">
      <c r="B833" s="42"/>
      <c r="C833" s="42"/>
    </row>
    <row r="834">
      <c r="B834" s="42"/>
      <c r="C834" s="42"/>
    </row>
    <row r="835">
      <c r="B835" s="42"/>
      <c r="C835" s="42"/>
    </row>
    <row r="836">
      <c r="B836" s="42"/>
      <c r="C836" s="42"/>
    </row>
    <row r="837">
      <c r="B837" s="42"/>
      <c r="C837" s="42"/>
    </row>
    <row r="838">
      <c r="B838" s="42"/>
      <c r="C838" s="42"/>
    </row>
    <row r="839">
      <c r="B839" s="42"/>
      <c r="C839" s="42"/>
    </row>
    <row r="840">
      <c r="B840" s="42"/>
      <c r="C840" s="42"/>
    </row>
    <row r="841">
      <c r="B841" s="42"/>
      <c r="C841" s="42"/>
    </row>
    <row r="842">
      <c r="B842" s="42"/>
      <c r="C842" s="42"/>
    </row>
    <row r="843">
      <c r="B843" s="42"/>
      <c r="C843" s="42"/>
    </row>
    <row r="844">
      <c r="B844" s="42"/>
      <c r="C844" s="42"/>
    </row>
    <row r="845">
      <c r="B845" s="42"/>
      <c r="C845" s="42"/>
    </row>
    <row r="846">
      <c r="B846" s="42"/>
      <c r="C846" s="42"/>
    </row>
    <row r="847">
      <c r="B847" s="42"/>
      <c r="C847" s="42"/>
    </row>
    <row r="848">
      <c r="B848" s="42"/>
      <c r="C848" s="42"/>
    </row>
    <row r="849">
      <c r="B849" s="42"/>
      <c r="C849" s="42"/>
    </row>
    <row r="850">
      <c r="B850" s="42"/>
      <c r="C850" s="42"/>
    </row>
    <row r="851">
      <c r="B851" s="42"/>
      <c r="C851" s="42"/>
    </row>
    <row r="852">
      <c r="B852" s="42"/>
      <c r="C852" s="42"/>
    </row>
    <row r="853">
      <c r="B853" s="42"/>
      <c r="C853" s="42"/>
    </row>
    <row r="854">
      <c r="B854" s="42"/>
      <c r="C854" s="42"/>
    </row>
    <row r="855">
      <c r="B855" s="42"/>
      <c r="C855" s="42"/>
    </row>
    <row r="856">
      <c r="B856" s="42"/>
      <c r="C856" s="42"/>
    </row>
    <row r="857">
      <c r="B857" s="42"/>
      <c r="C857" s="42"/>
    </row>
    <row r="858">
      <c r="B858" s="42"/>
      <c r="C858" s="42"/>
    </row>
    <row r="859">
      <c r="B859" s="42"/>
      <c r="C859" s="42"/>
    </row>
    <row r="860">
      <c r="B860" s="42"/>
      <c r="C860" s="42"/>
    </row>
    <row r="861">
      <c r="B861" s="42"/>
      <c r="C861" s="42"/>
    </row>
    <row r="862">
      <c r="B862" s="42"/>
      <c r="C862" s="42"/>
    </row>
    <row r="863">
      <c r="B863" s="42"/>
      <c r="C863" s="42"/>
    </row>
    <row r="864">
      <c r="B864" s="42"/>
      <c r="C864" s="42"/>
    </row>
    <row r="865">
      <c r="B865" s="42"/>
      <c r="C865" s="42"/>
    </row>
    <row r="866">
      <c r="B866" s="42"/>
      <c r="C866" s="42"/>
    </row>
    <row r="867">
      <c r="B867" s="42"/>
      <c r="C867" s="42"/>
    </row>
    <row r="868">
      <c r="B868" s="42"/>
      <c r="C868" s="42"/>
    </row>
    <row r="869">
      <c r="B869" s="42"/>
      <c r="C869" s="42"/>
    </row>
    <row r="870">
      <c r="B870" s="42"/>
      <c r="C870" s="42"/>
    </row>
    <row r="871">
      <c r="B871" s="42"/>
      <c r="C871" s="42"/>
    </row>
    <row r="872">
      <c r="B872" s="42"/>
      <c r="C872" s="42"/>
    </row>
    <row r="873">
      <c r="B873" s="42"/>
      <c r="C873" s="42"/>
    </row>
    <row r="874">
      <c r="B874" s="42"/>
      <c r="C874" s="42"/>
    </row>
    <row r="875">
      <c r="B875" s="42"/>
      <c r="C875" s="42"/>
    </row>
    <row r="876">
      <c r="B876" s="42"/>
      <c r="C876" s="42"/>
    </row>
    <row r="877">
      <c r="B877" s="42"/>
      <c r="C877" s="42"/>
    </row>
    <row r="878">
      <c r="B878" s="42"/>
      <c r="C878" s="42"/>
    </row>
    <row r="879">
      <c r="B879" s="42"/>
      <c r="C879" s="42"/>
    </row>
    <row r="880">
      <c r="B880" s="42"/>
      <c r="C880" s="42"/>
    </row>
    <row r="881">
      <c r="B881" s="42"/>
      <c r="C881" s="42"/>
    </row>
    <row r="882">
      <c r="B882" s="42"/>
      <c r="C882" s="42"/>
    </row>
    <row r="883">
      <c r="B883" s="42"/>
      <c r="C883" s="42"/>
    </row>
    <row r="884">
      <c r="B884" s="42"/>
      <c r="C884" s="42"/>
    </row>
    <row r="885">
      <c r="B885" s="42"/>
      <c r="C885" s="42"/>
    </row>
    <row r="886">
      <c r="B886" s="42"/>
      <c r="C886" s="42"/>
    </row>
    <row r="887">
      <c r="B887" s="42"/>
      <c r="C887" s="42"/>
    </row>
    <row r="888">
      <c r="B888" s="42"/>
      <c r="C888" s="42"/>
    </row>
    <row r="889">
      <c r="B889" s="42"/>
      <c r="C889" s="42"/>
    </row>
    <row r="890">
      <c r="B890" s="42"/>
      <c r="C890" s="42"/>
    </row>
    <row r="891">
      <c r="B891" s="42"/>
      <c r="C891" s="42"/>
    </row>
    <row r="892">
      <c r="B892" s="42"/>
      <c r="C892" s="42"/>
    </row>
    <row r="893">
      <c r="B893" s="42"/>
      <c r="C893" s="42"/>
    </row>
    <row r="894">
      <c r="B894" s="42"/>
      <c r="C894" s="42"/>
    </row>
    <row r="895">
      <c r="B895" s="42"/>
      <c r="C895" s="42"/>
    </row>
    <row r="896">
      <c r="B896" s="42"/>
      <c r="C896" s="42"/>
    </row>
    <row r="897">
      <c r="B897" s="42"/>
      <c r="C897" s="42"/>
    </row>
    <row r="898">
      <c r="B898" s="42"/>
      <c r="C898" s="42"/>
    </row>
    <row r="899">
      <c r="B899" s="42"/>
      <c r="C899" s="42"/>
    </row>
    <row r="900">
      <c r="B900" s="42"/>
      <c r="C900" s="42"/>
    </row>
    <row r="901">
      <c r="B901" s="42"/>
      <c r="C901" s="42"/>
    </row>
    <row r="902">
      <c r="B902" s="42"/>
      <c r="C902" s="42"/>
    </row>
    <row r="903">
      <c r="B903" s="42"/>
      <c r="C903" s="42"/>
    </row>
    <row r="904">
      <c r="B904" s="42"/>
      <c r="C904" s="42"/>
    </row>
    <row r="905">
      <c r="B905" s="42"/>
      <c r="C905" s="42"/>
    </row>
    <row r="906">
      <c r="B906" s="42"/>
      <c r="C906" s="42"/>
    </row>
    <row r="907">
      <c r="B907" s="42"/>
      <c r="C907" s="42"/>
    </row>
    <row r="908">
      <c r="B908" s="42"/>
      <c r="C908" s="42"/>
    </row>
    <row r="909">
      <c r="B909" s="42"/>
      <c r="C909" s="42"/>
    </row>
    <row r="910">
      <c r="B910" s="42"/>
      <c r="C910" s="42"/>
    </row>
    <row r="911">
      <c r="B911" s="42"/>
      <c r="C911" s="42"/>
    </row>
    <row r="912">
      <c r="B912" s="42"/>
      <c r="C912" s="42"/>
    </row>
    <row r="913">
      <c r="B913" s="42"/>
      <c r="C913" s="42"/>
    </row>
    <row r="914">
      <c r="B914" s="42"/>
      <c r="C914" s="42"/>
    </row>
    <row r="915">
      <c r="B915" s="42"/>
      <c r="C915" s="42"/>
    </row>
    <row r="916">
      <c r="B916" s="42"/>
      <c r="C916" s="42"/>
    </row>
    <row r="917">
      <c r="B917" s="42"/>
      <c r="C917" s="42"/>
    </row>
    <row r="918">
      <c r="B918" s="42"/>
      <c r="C918" s="42"/>
    </row>
    <row r="919">
      <c r="B919" s="42"/>
      <c r="C919" s="42"/>
    </row>
    <row r="920">
      <c r="B920" s="42"/>
      <c r="C920" s="42"/>
    </row>
    <row r="921">
      <c r="B921" s="42"/>
      <c r="C921" s="42"/>
    </row>
    <row r="922">
      <c r="B922" s="42"/>
      <c r="C922" s="42"/>
    </row>
    <row r="923">
      <c r="B923" s="42"/>
      <c r="C923" s="42"/>
    </row>
    <row r="924">
      <c r="B924" s="42"/>
      <c r="C924" s="42"/>
    </row>
    <row r="925">
      <c r="B925" s="42"/>
      <c r="C925" s="42"/>
    </row>
    <row r="926">
      <c r="B926" s="42"/>
      <c r="C926" s="42"/>
    </row>
    <row r="927">
      <c r="B927" s="42"/>
      <c r="C927" s="42"/>
    </row>
    <row r="928">
      <c r="B928" s="42"/>
      <c r="C928" s="42"/>
    </row>
    <row r="929">
      <c r="B929" s="42"/>
      <c r="C929" s="42"/>
    </row>
    <row r="930">
      <c r="B930" s="42"/>
      <c r="C930" s="42"/>
    </row>
    <row r="931">
      <c r="B931" s="42"/>
      <c r="C931" s="42"/>
    </row>
    <row r="932">
      <c r="B932" s="42"/>
      <c r="C932" s="42"/>
    </row>
    <row r="933">
      <c r="B933" s="42"/>
      <c r="C933" s="42"/>
    </row>
    <row r="934">
      <c r="B934" s="42"/>
      <c r="C934" s="42"/>
    </row>
    <row r="935">
      <c r="B935" s="42"/>
      <c r="C935" s="42"/>
    </row>
    <row r="936">
      <c r="B936" s="42"/>
      <c r="C936" s="42"/>
    </row>
    <row r="937">
      <c r="B937" s="42"/>
      <c r="C937" s="42"/>
    </row>
    <row r="938">
      <c r="B938" s="42"/>
      <c r="C938" s="42"/>
    </row>
    <row r="939">
      <c r="B939" s="42"/>
      <c r="C939" s="42"/>
    </row>
    <row r="940">
      <c r="B940" s="42"/>
      <c r="C940" s="42"/>
    </row>
    <row r="941">
      <c r="B941" s="42"/>
      <c r="C941" s="42"/>
    </row>
    <row r="942">
      <c r="B942" s="42"/>
      <c r="C942" s="42"/>
    </row>
    <row r="943">
      <c r="B943" s="42"/>
      <c r="C943" s="42"/>
    </row>
    <row r="944">
      <c r="B944" s="42"/>
      <c r="C944" s="42"/>
    </row>
    <row r="945">
      <c r="B945" s="42"/>
      <c r="C945" s="42"/>
    </row>
    <row r="946">
      <c r="B946" s="42"/>
      <c r="C946" s="42"/>
    </row>
    <row r="947">
      <c r="B947" s="42"/>
      <c r="C947" s="42"/>
    </row>
    <row r="948">
      <c r="B948" s="42"/>
      <c r="C948" s="42"/>
    </row>
    <row r="949">
      <c r="B949" s="42"/>
      <c r="C949" s="42"/>
    </row>
    <row r="950">
      <c r="B950" s="42"/>
      <c r="C950" s="42"/>
    </row>
    <row r="951">
      <c r="B951" s="42"/>
      <c r="C951" s="42"/>
    </row>
    <row r="952">
      <c r="B952" s="42"/>
      <c r="C952" s="42"/>
    </row>
    <row r="953">
      <c r="B953" s="42"/>
      <c r="C953" s="42"/>
    </row>
    <row r="954">
      <c r="B954" s="42"/>
      <c r="C954" s="42"/>
    </row>
    <row r="955">
      <c r="B955" s="42"/>
      <c r="C955" s="42"/>
    </row>
    <row r="956">
      <c r="B956" s="42"/>
      <c r="C956" s="42"/>
    </row>
    <row r="957">
      <c r="B957" s="42"/>
      <c r="C957" s="42"/>
    </row>
    <row r="958">
      <c r="B958" s="42"/>
      <c r="C958" s="42"/>
    </row>
    <row r="959">
      <c r="B959" s="42"/>
      <c r="C959" s="42"/>
    </row>
    <row r="960">
      <c r="B960" s="42"/>
      <c r="C960" s="42"/>
    </row>
    <row r="961">
      <c r="B961" s="42"/>
      <c r="C961" s="42"/>
    </row>
    <row r="962">
      <c r="B962" s="42"/>
      <c r="C962" s="42"/>
    </row>
    <row r="963">
      <c r="B963" s="42"/>
      <c r="C963" s="42"/>
    </row>
    <row r="964">
      <c r="B964" s="42"/>
      <c r="C964" s="42"/>
    </row>
    <row r="965">
      <c r="B965" s="42"/>
      <c r="C965" s="42"/>
    </row>
    <row r="966">
      <c r="B966" s="42"/>
      <c r="C966" s="42"/>
    </row>
    <row r="967">
      <c r="B967" s="42"/>
      <c r="C967" s="42"/>
    </row>
    <row r="968">
      <c r="B968" s="42"/>
      <c r="C968" s="42"/>
    </row>
    <row r="969">
      <c r="B969" s="42"/>
      <c r="C969" s="42"/>
    </row>
    <row r="970">
      <c r="B970" s="42"/>
      <c r="C970" s="42"/>
    </row>
    <row r="971">
      <c r="B971" s="42"/>
      <c r="C971" s="42"/>
    </row>
    <row r="972">
      <c r="B972" s="42"/>
      <c r="C972" s="42"/>
    </row>
    <row r="973">
      <c r="B973" s="42"/>
      <c r="C973" s="42"/>
    </row>
    <row r="974">
      <c r="B974" s="42"/>
      <c r="C974" s="42"/>
    </row>
    <row r="975">
      <c r="B975" s="42"/>
      <c r="C975" s="42"/>
    </row>
    <row r="976">
      <c r="B976" s="42"/>
      <c r="C976" s="42"/>
    </row>
    <row r="977">
      <c r="B977" s="42"/>
      <c r="C977" s="42"/>
    </row>
    <row r="978">
      <c r="B978" s="42"/>
      <c r="C978" s="42"/>
    </row>
    <row r="979">
      <c r="B979" s="42"/>
      <c r="C979" s="42"/>
    </row>
    <row r="980">
      <c r="B980" s="42"/>
      <c r="C980" s="42"/>
    </row>
    <row r="981">
      <c r="B981" s="42"/>
      <c r="C981" s="42"/>
    </row>
    <row r="982">
      <c r="B982" s="42"/>
      <c r="C982" s="42"/>
    </row>
    <row r="983">
      <c r="B983" s="42"/>
      <c r="C983" s="42"/>
    </row>
    <row r="984">
      <c r="B984" s="42"/>
      <c r="C984" s="42"/>
    </row>
    <row r="985">
      <c r="B985" s="42"/>
      <c r="C985" s="42"/>
    </row>
    <row r="986">
      <c r="B986" s="42"/>
      <c r="C986" s="42"/>
    </row>
    <row r="987">
      <c r="B987" s="42"/>
      <c r="C987" s="42"/>
    </row>
    <row r="988">
      <c r="B988" s="42"/>
      <c r="C988" s="42"/>
    </row>
    <row r="989">
      <c r="B989" s="42"/>
      <c r="C989" s="42"/>
    </row>
    <row r="990">
      <c r="B990" s="42"/>
      <c r="C990" s="42"/>
    </row>
    <row r="991">
      <c r="B991" s="42"/>
      <c r="C991" s="42"/>
    </row>
    <row r="992">
      <c r="B992" s="42"/>
      <c r="C992" s="42"/>
    </row>
    <row r="993">
      <c r="B993" s="42"/>
      <c r="C993" s="42"/>
    </row>
    <row r="994">
      <c r="B994" s="42"/>
      <c r="C994" s="42"/>
    </row>
    <row r="995">
      <c r="B995" s="42"/>
      <c r="C995" s="42"/>
    </row>
    <row r="996">
      <c r="B996" s="42"/>
      <c r="C996" s="42"/>
    </row>
    <row r="997">
      <c r="B997" s="42"/>
      <c r="C997" s="42"/>
    </row>
    <row r="998">
      <c r="B998" s="42"/>
      <c r="C998" s="42"/>
    </row>
    <row r="999">
      <c r="B999" s="42"/>
      <c r="C999" s="42"/>
    </row>
    <row r="1000">
      <c r="B1000" s="42"/>
      <c r="C1000" s="42"/>
    </row>
  </sheetData>
  <mergeCells count="3">
    <mergeCell ref="E2:F2"/>
    <mergeCell ref="E4:F4"/>
    <mergeCell ref="E11:F11"/>
  </mergeCells>
  <drawing r:id="rId1"/>
</worksheet>
</file>